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0512282ab943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_MVP" sheetId="1" r:id="Rf796aefc1e124ccc"/>
    <x:sheet xmlns:r="http://schemas.openxmlformats.org/officeDocument/2006/relationships" name="Fincas" sheetId="2" r:id="Ra359c8b44596451d"/>
    <x:sheet xmlns:r="http://schemas.openxmlformats.org/officeDocument/2006/relationships" name="Unidades" sheetId="3" r:id="R23d99de1281045a7"/>
    <x:sheet xmlns:r="http://schemas.openxmlformats.org/officeDocument/2006/relationships" name="CatalogoCultivos" sheetId="4" r:id="R7d8a85c35e67482c"/>
    <x:sheet xmlns:r="http://schemas.openxmlformats.org/officeDocument/2006/relationships" name="CultivosSembrados" sheetId="5" r:id="R996f4c1088e04f76"/>
    <x:sheet xmlns:r="http://schemas.openxmlformats.org/officeDocument/2006/relationships" name="VistaCultivos" sheetId="6" r:id="R517d35d3ccb74ec7"/>
    <x:sheet xmlns:r="http://schemas.openxmlformats.org/officeDocument/2006/relationships" name="Listas" sheetId="7" r:id="Rad5c7874ac774d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8"/>
      <x:color rgb="14532D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4532D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4465e4ed584001" /><Relationship Type="http://schemas.openxmlformats.org/officeDocument/2006/relationships/theme" Target="/xl/theme/theme1.xml" Id="R595f1f262ada47b6" /><Relationship Type="http://schemas.openxmlformats.org/officeDocument/2006/relationships/sharedStrings" Target="/xl/sharedStrings.xml" Id="R55c2832cd101439b" /><Relationship Type="http://schemas.openxmlformats.org/officeDocument/2006/relationships/worksheet" Target="/xl/worksheets/sheet1.xml" Id="Rf796aefc1e124ccc" /><Relationship Type="http://schemas.openxmlformats.org/officeDocument/2006/relationships/worksheet" Target="/xl/worksheets/sheet2.xml" Id="Ra359c8b44596451d" /><Relationship Type="http://schemas.openxmlformats.org/officeDocument/2006/relationships/worksheet" Target="/xl/worksheets/sheet3.xml" Id="R23d99de1281045a7" /><Relationship Type="http://schemas.openxmlformats.org/officeDocument/2006/relationships/worksheet" Target="/xl/worksheets/sheet4.xml" Id="R7d8a85c35e67482c" /><Relationship Type="http://schemas.openxmlformats.org/officeDocument/2006/relationships/worksheet" Target="/xl/worksheets/sheet5.xml" Id="R996f4c1088e04f76" /><Relationship Type="http://schemas.openxmlformats.org/officeDocument/2006/relationships/worksheet" Target="/xl/worksheets/sheet6.xml" Id="R517d35d3ccb74ec7" /><Relationship Type="http://schemas.openxmlformats.org/officeDocument/2006/relationships/worksheet" Target="/xl/worksheets/sheet7.xml" Id="Rad5c7874ac774de6" /></Relationships>
</file>

<file path=xl/tables/table1.xml><?xml version="1.0" encoding="utf-8"?>
<x:table xmlns:x="http://schemas.openxmlformats.org/spreadsheetml/2006/main" id="1" name="FincasTable" displayName="FincasTable" ref="A1:D3" headerRowCount="1">
  <x:tableColumns count="4">
    <x:tableColumn id="1" name="Finca_ID"/>
    <x:tableColumn id="2" name="Finca_Nombre"/>
    <x:tableColumn id="3" name="Ubicacion"/>
    <x:tableColumn id="4" name="Notas"/>
  </x:tableColumns>
  <x:tableStyleInfo name="TableStyleMedium2" showRowStripes="1"/>
</x:table>
</file>

<file path=xl/tables/table2.xml><?xml version="1.0" encoding="utf-8"?>
<x:table xmlns:x="http://schemas.openxmlformats.org/spreadsheetml/2006/main" id="2" name="UnidadesTable" displayName="UnidadesTable" ref="A1:F9" headerRowCount="1">
  <x:tableColumns count="6">
    <x:tableColumn id="1" name="Unidad_ID"/>
    <x:tableColumn id="2" name="Finca_ID"/>
    <x:tableColumn id="3" name="Unidad_Nombre"/>
    <x:tableColumn id="4" name="Tipo_Unidad"/>
    <x:tableColumn id="5" name="Estado"/>
    <x:tableColumn id="6" name="Notas"/>
  </x:tableColumns>
  <x:tableStyleInfo name="TableStyleMedium2" showRowStripes="1"/>
</x:table>
</file>

<file path=xl/tables/table3.xml><?xml version="1.0" encoding="utf-8"?>
<x:table xmlns:x="http://schemas.openxmlformats.org/spreadsheetml/2006/main" id="3" name="CatalogoCultivosTable" displayName="CatalogoCultivosTable" ref="A1:G21" headerRowCount="1">
  <x:tableColumns count="7">
    <x:tableColumn id="1" name="Cultivo_ID"/>
    <x:tableColumn id="2" name="Cultivo_Nombre"/>
    <x:tableColumn id="3" name="Tipo_Cosecha"/>
    <x:tableColumn id="4" name="Dias_Cosecha_Min"/>
    <x:tableColumn id="5" name="Dias_Cosecha_Max"/>
    <x:tableColumn id="6" name="Activo"/>
    <x:tableColumn id="7" name="Notas"/>
  </x:tableColumns>
  <x:tableStyleInfo name="TableStyleMedium2" showRowStripes="1"/>
</x:table>
</file>

<file path=xl/tables/table4.xml><?xml version="1.0" encoding="utf-8"?>
<x:table xmlns:x="http://schemas.openxmlformats.org/spreadsheetml/2006/main" id="4" name="CultivosSembradosTable" displayName="CultivosSembradosTable" ref="A1:M26" headerRowCount="1">
  <x:tableColumns count="13">
    <x:tableColumn id="1" name="Siembra_ID"/>
    <x:tableColumn id="2" name="Finca_ID"/>
    <x:tableColumn id="3" name="Unidad_ID"/>
    <x:tableColumn id="4" name="Cultivo_ID"/>
    <x:tableColumn id="5" name="Fecha_Siembra"/>
    <x:tableColumn id="6" name="Fecha_Trasplante"/>
    <x:tableColumn id="7" name="Cantidad"/>
    <x:tableColumn id="8" name="Estado_Actual"/>
    <x:tableColumn id="9" name="Fecha_Base"/>
    <x:tableColumn id="10" name="Cosecha_Min"/>
    <x:tableColumn id="11" name="Cosecha_Max"/>
    <x:tableColumn id="12" name="Estado_Ficha"/>
    <x:tableColumn id="13" name="Notas"/>
  </x:tableColumns>
  <x:tableStyleInfo name="TableStyleMedium2" showRowStripes="1"/>
</x:table>
</file>

<file path=xl/tables/table5.xml><?xml version="1.0" encoding="utf-8"?>
<x:table xmlns:x="http://schemas.openxmlformats.org/spreadsheetml/2006/main" id="5" name="VistaCultivosTable" displayName="VistaCultivosTable" ref="A1:Q26" headerRowCount="1">
  <x:tableColumns count="17">
    <x:tableColumn id="1" name="Siembra_ID"/>
    <x:tableColumn id="2" name="Finca"/>
    <x:tableColumn id="3" name="Finca_ID"/>
    <x:tableColumn id="4" name="Unidad"/>
    <x:tableColumn id="5" name="Unidad_ID"/>
    <x:tableColumn id="6" name="Estado_Unidad"/>
    <x:tableColumn id="7" name="Cultivo"/>
    <x:tableColumn id="8" name="Cultivo_ID"/>
    <x:tableColumn id="9" name="Cantidad"/>
    <x:tableColumn id="10" name="Estado_Actual"/>
    <x:tableColumn id="11" name="Fecha_Siembra"/>
    <x:tableColumn id="12" name="Fecha_Trasplante"/>
    <x:tableColumn id="13" name="Fecha_Base"/>
    <x:tableColumn id="14" name="Cosecha_Min"/>
    <x:tableColumn id="15" name="Cosecha_Max"/>
    <x:tableColumn id="16" name="Alerta_Datos"/>
    <x:tableColumn id="17" name="Mes_Cosecha"/>
  </x:tableColumns>
  <x:tableStyleInfo name="TableStyleMedium2" showRowStripes="1"/>
</x:table>
</file>

<file path=xl/tables/table6.xml><?xml version="1.0" encoding="utf-8"?>
<x:table xmlns:x="http://schemas.openxmlformats.org/spreadsheetml/2006/main" id="6" name="ListasTable" displayName="ListasTable" ref="A1:B8" headerRowCount="1">
  <x:tableColumns count="2">
    <x:tableColumn id="1" name="Lista"/>
    <x:tableColumn id="2" name="Val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3c53f7bcc449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19dbf7118e4c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d7d521f1e049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72ee909b7e40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7bfee80707b40a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57a00970ed48a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</x:cols>
  <x:sheetData>
    <x:row r="1">
      <x:c r="A1" s="16" t="str">
        <x:v>Hydra Q FincaOS V8</x:v>
      </x:c>
    </x:row>
    <x:row r="3">
      <x:c r="A3" s="5" t="str">
        <x:v>Métrica</x:v>
      </x:c>
      <x:c r="B3" s="5" t="str">
        <x:v>Valor</x:v>
      </x:c>
    </x:row>
    <x:row r="4">
      <x:c r="A4" t="str">
        <x:v>Cultivos activos</x:v>
      </x:c>
      <x:c r="B4" t="n">
        <x:f>COUNTIFS(VistaCultivos!H:H,"&lt;&gt;CUL_DISPONIBLE",VistaCultivos!F:F,"Activa")</x:f>
        <x:v>23</x:v>
      </x:c>
    </x:row>
    <x:row r="5">
      <x:c r="A5" t="str">
        <x:v>Camas activas</x:v>
      </x:c>
      <x:c r="B5" t="n">
        <x:f>COUNTIF(Unidades!E:E,"Activa")</x:f>
        <x:v>7</x:v>
      </x:c>
    </x:row>
    <x:row r="6">
      <x:c r="A6" t="str">
        <x:v>Espacios disponibles</x:v>
      </x:c>
      <x:c r="B6" t="n">
        <x:f>COUNTIF(VistaCultivos!H:H,"CUL_DISPONIBLE")</x:f>
        <x:v>2</x:v>
      </x:c>
    </x:row>
    <x:row r="7">
      <x:c r="A7" t="str">
        <x:v>Errores falta información</x:v>
      </x:c>
      <x:c r="B7" t="n">
        <x:f>COUNTIF(VistaCultivos!P:P,"Falta fecha")</x:f>
        <x:v>0</x:v>
      </x:c>
    </x:row>
    <x:row r="8">
      <x:c r="A8" t="str">
        <x:v>Próxima cosecha</x:v>
      </x:c>
      <x:c r="B8" s="18" t="n">
        <x:f>MIN(VistaCultivos!N:N)</x:f>
        <x:v>46092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1" hidden="0" customWidth="1"/>
    <x:col min="4" max="4" width="10" hidden="0" customWidth="1"/>
  </x:cols>
  <x:sheetData>
    <x:row r="1">
      <x:c r="A1" s="10" t="str">
        <x:v>Finca_ID</x:v>
      </x:c>
      <x:c r="B1" s="10" t="str">
        <x:v>Finca_Nombre</x:v>
      </x:c>
      <x:c r="C1" s="10" t="str">
        <x:v>Ubicacion</x:v>
      </x:c>
      <x:c r="D1" s="10" t="str">
        <x:v>Notas</x:v>
      </x:c>
    </x:row>
    <x:row r="2">
      <x:c r="A2" s="11" t="str">
        <x:v>FIN_MORAVIA</x:v>
      </x:c>
      <x:c r="B2" s="11" t="str">
        <x:v>Moravia</x:v>
      </x:c>
      <x:c r="C2" s="11" t="str">
        <x:v>San Vicente, Moravia</x:v>
      </x:c>
      <x:c r="D2" s="11" t="str">
        <x:v>Cama de hortalizas y aromáticas</x:v>
      </x:c>
    </x:row>
    <x:row r="3">
      <x:c r="A3" s="11" t="str">
        <x:v>FIN_FRAILES</x:v>
      </x:c>
      <x:c r="B3" s="11" t="str">
        <x:v>Frailes</x:v>
      </x:c>
      <x:c r="C3" s="11" t="str">
        <x:v>Frailes, Los Santos</x:v>
      </x:c>
      <x:c r="D3" s="11" t="str">
        <x:v>Camas de rotación</x:v>
      </x:c>
    </x:row>
  </x:sheetData>
  <x:pageMargins left="0.7" right="0.7" top="0.75" bottom="0.75" header="0.3" footer="0.3"/>
  <x:tableParts count="1">
    <x:tablePart xmlns:r="http://schemas.openxmlformats.org/officeDocument/2006/relationships" r:id="R063c53f7bcc449d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15" hidden="0" customWidth="1"/>
    <x:col min="4" max="4" width="13" hidden="0" customWidth="1"/>
    <x:col min="5" max="5" width="10" hidden="0" customWidth="1"/>
    <x:col min="6" max="6" width="10" hidden="0" customWidth="1"/>
  </x:cols>
  <x:sheetData>
    <x:row r="1">
      <x:c r="A1" s="10" t="str">
        <x:v>Unidad_ID</x:v>
      </x:c>
      <x:c r="B1" s="10" t="str">
        <x:v>Finca_ID</x:v>
      </x:c>
      <x:c r="C1" s="10" t="str">
        <x:v>Unidad_Nombre</x:v>
      </x:c>
      <x:c r="D1" s="10" t="str">
        <x:v>Tipo_Unidad</x:v>
      </x:c>
      <x:c r="E1" s="10" t="str">
        <x:v>Estado</x:v>
      </x:c>
      <x:c r="F1" s="10" t="str">
        <x:v>Notas</x:v>
      </x:c>
    </x:row>
    <x:row r="2">
      <x:c r="A2" s="11" t="str">
        <x:v>UNI_MOR_CAMA_01</x:v>
      </x:c>
      <x:c r="B2" s="11" t="str">
        <x:v>FIN_MORAVIA</x:v>
      </x:c>
      <x:c r="C2" s="11" t="str">
        <x:v>Cama Moravia 1</x:v>
      </x:c>
      <x:c r="D2" s="11" t="str">
        <x:v>Cama</x:v>
      </x:c>
      <x:c r="E2" s="11" t="str">
        <x:v>Activa</x:v>
      </x:c>
      <x:c r="F2" s="11" t="str">
        <x:v>Incluye espacios disponibles</x:v>
      </x:c>
    </x:row>
    <x:row r="3">
      <x:c r="A3" s="11" t="str">
        <x:v>UNI_FRA_CAMA_01</x:v>
      </x:c>
      <x:c r="B3" s="11" t="str">
        <x:v>FIN_FRAILES</x:v>
      </x:c>
      <x:c r="C3" s="11" t="str">
        <x:v>Cama Frailes 1</x:v>
      </x:c>
      <x:c r="D3" s="11" t="str">
        <x:v>Cama</x:v>
      </x:c>
      <x:c r="E3" s="11" t="str">
        <x:v>Activa</x:v>
      </x:c>
      <x:c r="F3" s="11" t="str"/>
    </x:row>
    <x:row r="4">
      <x:c r="A4" s="11" t="str">
        <x:v>UNI_FRA_CAMA_02</x:v>
      </x:c>
      <x:c r="B4" s="11" t="str">
        <x:v>FIN_FRAILES</x:v>
      </x:c>
      <x:c r="C4" s="11" t="str">
        <x:v>Cama Frailes 2</x:v>
      </x:c>
      <x:c r="D4" s="11" t="str">
        <x:v>Cama</x:v>
      </x:c>
      <x:c r="E4" s="11" t="str">
        <x:v>Activa</x:v>
      </x:c>
      <x:c r="F4" s="11" t="str"/>
    </x:row>
    <x:row r="5">
      <x:c r="A5" s="11" t="str">
        <x:v>UNI_FRA_CAMA_03</x:v>
      </x:c>
      <x:c r="B5" s="11" t="str">
        <x:v>FIN_FRAILES</x:v>
      </x:c>
      <x:c r="C5" s="11" t="str">
        <x:v>Cama Frailes 3</x:v>
      </x:c>
      <x:c r="D5" s="11" t="str">
        <x:v>Cama</x:v>
      </x:c>
      <x:c r="E5" s="11" t="str">
        <x:v>Activa</x:v>
      </x:c>
      <x:c r="F5" s="11" t="str"/>
    </x:row>
    <x:row r="6">
      <x:c r="A6" s="11" t="str">
        <x:v>UNI_FRA_CAMA_04</x:v>
      </x:c>
      <x:c r="B6" s="11" t="str">
        <x:v>FIN_FRAILES</x:v>
      </x:c>
      <x:c r="C6" s="11" t="str">
        <x:v>Cama Frailes 4</x:v>
      </x:c>
      <x:c r="D6" s="11" t="str">
        <x:v>Cama</x:v>
      </x:c>
      <x:c r="E6" s="11" t="str">
        <x:v>No activa</x:v>
      </x:c>
      <x:c r="F6" s="11" t="str">
        <x:v>Sin cultivos activos</x:v>
      </x:c>
    </x:row>
    <x:row r="7">
      <x:c r="A7" s="11" t="str">
        <x:v>UNI_FRA_CAMA_05</x:v>
      </x:c>
      <x:c r="B7" s="11" t="str">
        <x:v>FIN_FRAILES</x:v>
      </x:c>
      <x:c r="C7" s="11" t="str">
        <x:v>Cama Frailes 5</x:v>
      </x:c>
      <x:c r="D7" s="11" t="str">
        <x:v>Cama</x:v>
      </x:c>
      <x:c r="E7" s="11" t="str">
        <x:v>Activa</x:v>
      </x:c>
      <x:c r="F7" s="11" t="str"/>
    </x:row>
    <x:row r="8">
      <x:c r="A8" s="11" t="str">
        <x:v>UNI_FRA_CAMA_06</x:v>
      </x:c>
      <x:c r="B8" s="11" t="str">
        <x:v>FIN_FRAILES</x:v>
      </x:c>
      <x:c r="C8" s="11" t="str">
        <x:v>Cama Frailes 6</x:v>
      </x:c>
      <x:c r="D8" s="11" t="str">
        <x:v>Cama</x:v>
      </x:c>
      <x:c r="E8" s="11" t="str">
        <x:v>Activa</x:v>
      </x:c>
      <x:c r="F8" s="11" t="str"/>
    </x:row>
    <x:row r="9">
      <x:c r="A9" s="11" t="str">
        <x:v>UNI_FRA_CAMA_07</x:v>
      </x:c>
      <x:c r="B9" s="11" t="str">
        <x:v>FIN_FRAILES</x:v>
      </x:c>
      <x:c r="C9" s="11" t="str">
        <x:v>Cama Frailes 7</x:v>
      </x:c>
      <x:c r="D9" s="11" t="str">
        <x:v>Cama</x:v>
      </x:c>
      <x:c r="E9" s="11" t="str">
        <x:v>Activa</x:v>
      </x:c>
      <x:c r="F9" s="11" t="str"/>
    </x:row>
  </x:sheetData>
  <x:pageMargins left="0.7" right="0.7" top="0.75" bottom="0.75" header="0.3" footer="0.3"/>
  <x:tableParts count="1">
    <x:tablePart xmlns:r="http://schemas.openxmlformats.org/officeDocument/2006/relationships" r:id="Rb919dbf7118e4c2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4" hidden="0" customWidth="1"/>
    <x:col min="4" max="4" width="18" hidden="0" customWidth="1"/>
    <x:col min="5" max="5" width="18" hidden="0" customWidth="1"/>
    <x:col min="6" max="6" width="10" hidden="0" customWidth="1"/>
    <x:col min="7" max="7" width="10" hidden="0" customWidth="1"/>
  </x:cols>
  <x:sheetData>
    <x:row r="1">
      <x:c r="A1" s="10" t="str">
        <x:v>Cultivo_ID</x:v>
      </x:c>
      <x:c r="B1" s="10" t="str">
        <x:v>Cultivo_Nombre</x:v>
      </x:c>
      <x:c r="C1" s="10" t="str">
        <x:v>Tipo_Cosecha</x:v>
      </x:c>
      <x:c r="D1" s="10" t="str">
        <x:v>Dias_Cosecha_Min</x:v>
      </x:c>
      <x:c r="E1" s="10" t="str">
        <x:v>Dias_Cosecha_Max</x:v>
      </x:c>
      <x:c r="F1" s="10" t="str">
        <x:v>Activo</x:v>
      </x:c>
      <x:c r="G1" s="10" t="str">
        <x:v>Notas</x:v>
      </x:c>
    </x:row>
    <x:row r="2">
      <x:c r="A2" s="11" t="str">
        <x:v>CUL_DISPONIBLE</x:v>
      </x:c>
      <x:c r="B2" s="11" t="str">
        <x:v>Disponible</x:v>
      </x:c>
      <x:c r="C2" s="11" t="str">
        <x:v>Placeholder</x:v>
      </x:c>
      <x:c r="D2" s="11" t="n">
        <x:v>0</x:v>
      </x:c>
      <x:c r="E2" s="11" t="n">
        <x:v>0</x:v>
      </x:c>
      <x:c r="F2" s="11" t="str">
        <x:v>Sí</x:v>
      </x:c>
      <x:c r="G2" s="11" t="str">
        <x:v>Etiqueta para espacio disponible</x:v>
      </x:c>
    </x:row>
    <x:row r="3">
      <x:c r="A3" s="11" t="str">
        <x:v>CUL_LECHUGA</x:v>
      </x:c>
      <x:c r="B3" s="11" t="str">
        <x:v>Lechuga</x:v>
      </x:c>
      <x:c r="C3" s="11" t="str">
        <x:v>Única</x:v>
      </x:c>
      <x:c r="D3" s="11" t="n">
        <x:v>35</x:v>
      </x:c>
      <x:c r="E3" s="11" t="n">
        <x:v>50</x:v>
      </x:c>
      <x:c r="F3" s="11" t="str">
        <x:v>Sí</x:v>
      </x:c>
      <x:c r="G3" s="11" t="str"/>
    </x:row>
    <x:row r="4">
      <x:c r="A4" s="11" t="str">
        <x:v>CUL_ACELGA</x:v>
      </x:c>
      <x:c r="B4" s="11" t="str">
        <x:v>Acelga</x:v>
      </x:c>
      <x:c r="C4" s="11" t="str">
        <x:v>Corte</x:v>
      </x:c>
      <x:c r="D4" s="11" t="n">
        <x:v>45</x:v>
      </x:c>
      <x:c r="E4" s="11" t="n">
        <x:v>65</x:v>
      </x:c>
      <x:c r="F4" s="11" t="str">
        <x:v>Sí</x:v>
      </x:c>
      <x:c r="G4" s="11" t="str"/>
    </x:row>
    <x:row r="5">
      <x:c r="A5" s="11" t="str">
        <x:v>CUL_PEPINO</x:v>
      </x:c>
      <x:c r="B5" s="11" t="str">
        <x:v>Pepino</x:v>
      </x:c>
      <x:c r="C5" s="11" t="str">
        <x:v>Escalonada</x:v>
      </x:c>
      <x:c r="D5" s="11" t="n">
        <x:v>45</x:v>
      </x:c>
      <x:c r="E5" s="11" t="n">
        <x:v>65</x:v>
      </x:c>
      <x:c r="F5" s="11" t="str">
        <x:v>Sí</x:v>
      </x:c>
      <x:c r="G5" s="11" t="str"/>
    </x:row>
    <x:row r="6">
      <x:c r="A6" s="11" t="str">
        <x:v>CUL_SANDIA</x:v>
      </x:c>
      <x:c r="B6" s="11" t="str">
        <x:v>Sandía</x:v>
      </x:c>
      <x:c r="C6" s="11" t="str">
        <x:v>Única</x:v>
      </x:c>
      <x:c r="D6" s="11" t="n">
        <x:v>80</x:v>
      </x:c>
      <x:c r="E6" s="11" t="n">
        <x:v>100</x:v>
      </x:c>
      <x:c r="F6" s="11" t="str">
        <x:v>Sí</x:v>
      </x:c>
      <x:c r="G6" s="11" t="str"/>
    </x:row>
    <x:row r="7">
      <x:c r="A7" s="11" t="str">
        <x:v>CUL_AYOTE</x:v>
      </x:c>
      <x:c r="B7" s="11" t="str">
        <x:v>Ayote</x:v>
      </x:c>
      <x:c r="C7" s="11" t="str">
        <x:v>Escalonada</x:v>
      </x:c>
      <x:c r="D7" s="11" t="n">
        <x:v>90</x:v>
      </x:c>
      <x:c r="E7" s="11" t="n">
        <x:v>120</x:v>
      </x:c>
      <x:c r="F7" s="11" t="str">
        <x:v>Sí</x:v>
      </x:c>
      <x:c r="G7" s="11" t="str"/>
    </x:row>
    <x:row r="8">
      <x:c r="A8" s="11" t="str">
        <x:v>CUL_ALBAHACA</x:v>
      </x:c>
      <x:c r="B8" s="11" t="str">
        <x:v>Albahaca</x:v>
      </x:c>
      <x:c r="C8" s="11" t="str">
        <x:v>Corte</x:v>
      </x:c>
      <x:c r="D8" s="11" t="n">
        <x:v>35</x:v>
      </x:c>
      <x:c r="E8" s="11" t="n">
        <x:v>50</x:v>
      </x:c>
      <x:c r="F8" s="11" t="str">
        <x:v>Sí</x:v>
      </x:c>
      <x:c r="G8" s="11" t="str"/>
    </x:row>
    <x:row r="9">
      <x:c r="A9" s="11" t="str">
        <x:v>CUL_TOMATE_CHERRY</x:v>
      </x:c>
      <x:c r="B9" s="11" t="str">
        <x:v>Tomate cherry</x:v>
      </x:c>
      <x:c r="C9" s="11" t="str">
        <x:v>Escalonada</x:v>
      </x:c>
      <x:c r="D9" s="11" t="n">
        <x:v>75</x:v>
      </x:c>
      <x:c r="E9" s="11" t="n">
        <x:v>100</x:v>
      </x:c>
      <x:c r="F9" s="11" t="str">
        <x:v>Sí</x:v>
      </x:c>
      <x:c r="G9" s="11" t="str"/>
    </x:row>
    <x:row r="10">
      <x:c r="A10" s="11" t="str">
        <x:v>CUL_CULANTRO</x:v>
      </x:c>
      <x:c r="B10" s="11" t="str">
        <x:v>Culantro</x:v>
      </x:c>
      <x:c r="C10" s="11" t="str">
        <x:v>Corte</x:v>
      </x:c>
      <x:c r="D10" s="11" t="n">
        <x:v>40</x:v>
      </x:c>
      <x:c r="E10" s="11" t="n">
        <x:v>60</x:v>
      </x:c>
      <x:c r="F10" s="11" t="str">
        <x:v>Sí</x:v>
      </x:c>
      <x:c r="G10" s="11" t="str"/>
    </x:row>
    <x:row r="11">
      <x:c r="A11" s="11" t="str">
        <x:v>CUL_CEBOLLA_BLANCA</x:v>
      </x:c>
      <x:c r="B11" s="11" t="str">
        <x:v>Cebolla blanca</x:v>
      </x:c>
      <x:c r="C11" s="11" t="str">
        <x:v>Única</x:v>
      </x:c>
      <x:c r="D11" s="11" t="n">
        <x:v>90</x:v>
      </x:c>
      <x:c r="E11" s="11" t="n">
        <x:v>120</x:v>
      </x:c>
      <x:c r="F11" s="11" t="str">
        <x:v>Sí</x:v>
      </x:c>
      <x:c r="G11" s="11" t="str"/>
    </x:row>
    <x:row r="12">
      <x:c r="A12" s="11" t="str">
        <x:v>CUL_CEBOLLA_MORADA</x:v>
      </x:c>
      <x:c r="B12" s="11" t="str">
        <x:v>Cebolla morada</x:v>
      </x:c>
      <x:c r="C12" s="11" t="str">
        <x:v>Única</x:v>
      </x:c>
      <x:c r="D12" s="11" t="n">
        <x:v>90</x:v>
      </x:c>
      <x:c r="E12" s="11" t="n">
        <x:v>120</x:v>
      </x:c>
      <x:c r="F12" s="11" t="str">
        <x:v>Sí</x:v>
      </x:c>
      <x:c r="G12" s="11" t="str"/>
    </x:row>
    <x:row r="13">
      <x:c r="A13" s="11" t="str">
        <x:v>CUL_CHILE_DULCE</x:v>
      </x:c>
      <x:c r="B13" s="11" t="str">
        <x:v>Chile dulce</x:v>
      </x:c>
      <x:c r="C13" s="11" t="str">
        <x:v>Escalonada</x:v>
      </x:c>
      <x:c r="D13" s="11" t="n">
        <x:v>75</x:v>
      </x:c>
      <x:c r="E13" s="11" t="n">
        <x:v>100</x:v>
      </x:c>
      <x:c r="F13" s="11" t="str">
        <x:v>Sí</x:v>
      </x:c>
      <x:c r="G13" s="11" t="str"/>
    </x:row>
    <x:row r="14">
      <x:c r="A14" s="11" t="str">
        <x:v>CUL_ARUGULA</x:v>
      </x:c>
      <x:c r="B14" s="11" t="str">
        <x:v>Arúgula</x:v>
      </x:c>
      <x:c r="C14" s="11" t="str">
        <x:v>Corte</x:v>
      </x:c>
      <x:c r="D14" s="11" t="n">
        <x:v>25</x:v>
      </x:c>
      <x:c r="E14" s="11" t="n">
        <x:v>40</x:v>
      </x:c>
      <x:c r="F14" s="11" t="str">
        <x:v>Sí</x:v>
      </x:c>
      <x:c r="G14" s="11" t="str"/>
    </x:row>
    <x:row r="15">
      <x:c r="A15" s="11" t="str">
        <x:v>CUL_ZUCCHINI</x:v>
      </x:c>
      <x:c r="B15" s="11" t="str">
        <x:v>Zucchini</x:v>
      </x:c>
      <x:c r="C15" s="11" t="str">
        <x:v>Escalonada</x:v>
      </x:c>
      <x:c r="D15" s="11" t="n">
        <x:v>45</x:v>
      </x:c>
      <x:c r="E15" s="11" t="n">
        <x:v>65</x:v>
      </x:c>
      <x:c r="F15" s="11" t="str">
        <x:v>Sí</x:v>
      </x:c>
      <x:c r="G15" s="11" t="str"/>
    </x:row>
    <x:row r="16">
      <x:c r="A16" s="11" t="str">
        <x:v>CUL_ZANAHORIA</x:v>
      </x:c>
      <x:c r="B16" s="11" t="str">
        <x:v>Zanahoria</x:v>
      </x:c>
      <x:c r="C16" s="11" t="str">
        <x:v>Única</x:v>
      </x:c>
      <x:c r="D16" s="11" t="n">
        <x:v>80</x:v>
      </x:c>
      <x:c r="E16" s="11" t="n">
        <x:v>110</x:v>
      </x:c>
      <x:c r="F16" s="11" t="str">
        <x:v>Sí</x:v>
      </x:c>
      <x:c r="G16" s="11" t="str"/>
    </x:row>
    <x:row r="17">
      <x:c r="A17" s="11" t="str">
        <x:v>CUL_CEBOLLINO</x:v>
      </x:c>
      <x:c r="B17" s="11" t="str">
        <x:v>Cebollino</x:v>
      </x:c>
      <x:c r="C17" s="11" t="str">
        <x:v>Corte</x:v>
      </x:c>
      <x:c r="D17" s="11" t="n">
        <x:v>60</x:v>
      </x:c>
      <x:c r="E17" s="11" t="n">
        <x:v>90</x:v>
      </x:c>
      <x:c r="F17" s="11" t="str">
        <x:v>Sí</x:v>
      </x:c>
      <x:c r="G17" s="11" t="str"/>
    </x:row>
    <x:row r="18">
      <x:c r="A18" s="11" t="str">
        <x:v>CUL_PEREJIL_ITALIANO</x:v>
      </x:c>
      <x:c r="B18" s="11" t="str">
        <x:v>Perejil italiano</x:v>
      </x:c>
      <x:c r="C18" s="11" t="str">
        <x:v>Corte</x:v>
      </x:c>
      <x:c r="D18" s="11" t="n">
        <x:v>70</x:v>
      </x:c>
      <x:c r="E18" s="11" t="n">
        <x:v>100</x:v>
      </x:c>
      <x:c r="F18" s="11" t="str">
        <x:v>Sí</x:v>
      </x:c>
      <x:c r="G18" s="11" t="str"/>
    </x:row>
    <x:row r="19">
      <x:c r="A19" s="11" t="str">
        <x:v>CUL_PEREJIL_NORMAL</x:v>
      </x:c>
      <x:c r="B19" s="11" t="str">
        <x:v>Perejil normal</x:v>
      </x:c>
      <x:c r="C19" s="11" t="str">
        <x:v>Corte</x:v>
      </x:c>
      <x:c r="D19" s="11" t="n">
        <x:v>70</x:v>
      </x:c>
      <x:c r="E19" s="11" t="n">
        <x:v>100</x:v>
      </x:c>
      <x:c r="F19" s="11" t="str">
        <x:v>Sí</x:v>
      </x:c>
      <x:c r="G19" s="11" t="str"/>
    </x:row>
    <x:row r="20">
      <x:c r="A20" s="11" t="str">
        <x:v>CUL_ESPINACA</x:v>
      </x:c>
      <x:c r="B20" s="11" t="str">
        <x:v>Espinaca</x:v>
      </x:c>
      <x:c r="C20" s="11" t="str">
        <x:v>Corte</x:v>
      </x:c>
      <x:c r="D20" s="11" t="n">
        <x:v>40</x:v>
      </x:c>
      <x:c r="E20" s="11" t="n">
        <x:v>60</x:v>
      </x:c>
      <x:c r="F20" s="11" t="str">
        <x:v>Sí</x:v>
      </x:c>
      <x:c r="G20" s="11" t="str"/>
    </x:row>
    <x:row r="21">
      <x:c r="A21" s="11" t="str">
        <x:v>CUL_APIO</x:v>
      </x:c>
      <x:c r="B21" s="11" t="str">
        <x:v>Apio</x:v>
      </x:c>
      <x:c r="C21" s="11" t="str">
        <x:v>Corte</x:v>
      </x:c>
      <x:c r="D21" s="11" t="n">
        <x:v>90</x:v>
      </x:c>
      <x:c r="E21" s="11" t="n">
        <x:v>120</x:v>
      </x:c>
      <x:c r="F21" s="11" t="str">
        <x:v>Sí</x:v>
      </x:c>
      <x:c r="G21" s="11" t="str"/>
    </x:row>
  </x:sheetData>
  <x:pageMargins left="0.7" right="0.7" top="0.75" bottom="0.75" header="0.3" footer="0.3"/>
  <x:tableParts count="1">
    <x:tablePart xmlns:r="http://schemas.openxmlformats.org/officeDocument/2006/relationships" r:id="R4cd7d521f1e049b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1" hidden="0" customWidth="1"/>
    <x:col min="4" max="4" width="12" hidden="0" customWidth="1"/>
    <x:col min="5" max="5" width="15" hidden="0" customWidth="1"/>
    <x:col min="6" max="6" width="18" hidden="0" customWidth="1"/>
    <x:col min="7" max="7" width="10" hidden="0" customWidth="1"/>
    <x:col min="8" max="8" width="15" hidden="0" customWidth="1"/>
    <x:col min="9" max="9" width="12" hidden="0" customWidth="1"/>
    <x:col min="10" max="10" width="13" hidden="0" customWidth="1"/>
    <x:col min="11" max="11" width="13" hidden="0" customWidth="1"/>
    <x:col min="12" max="12" width="14" hidden="0" customWidth="1"/>
    <x:col min="13" max="13" width="10" hidden="0" customWidth="1"/>
  </x:cols>
  <x:sheetData>
    <x:row r="1">
      <x:c r="A1" s="10" t="str">
        <x:v>Siembra_ID</x:v>
      </x:c>
      <x:c r="B1" s="10" t="str">
        <x:v>Finca_ID</x:v>
      </x:c>
      <x:c r="C1" s="10" t="str">
        <x:v>Unidad_ID</x:v>
      </x:c>
      <x:c r="D1" s="10" t="str">
        <x:v>Cultivo_ID</x:v>
      </x:c>
      <x:c r="E1" s="10" t="str">
        <x:v>Fecha_Siembra</x:v>
      </x:c>
      <x:c r="F1" s="10" t="str">
        <x:v>Fecha_Trasplante</x:v>
      </x:c>
      <x:c r="G1" s="10" t="str">
        <x:v>Cantidad</x:v>
      </x:c>
      <x:c r="H1" s="10" t="str">
        <x:v>Estado_Actual</x:v>
      </x:c>
      <x:c r="I1" s="10" t="str">
        <x:v>Fecha_Base</x:v>
      </x:c>
      <x:c r="J1" s="10" t="str">
        <x:v>Cosecha_Min</x:v>
      </x:c>
      <x:c r="K1" s="10" t="str">
        <x:v>Cosecha_Max</x:v>
      </x:c>
      <x:c r="L1" s="10" t="str">
        <x:v>Estado_Ficha</x:v>
      </x:c>
      <x:c r="M1" s="10" t="str">
        <x:v>Notas</x:v>
      </x:c>
    </x:row>
    <x:row r="2">
      <x:c r="A2" s="11" t="str">
        <x:v>SIE_MOR_001</x:v>
      </x:c>
      <x:c r="B2" s="11" t="str">
        <x:v>FIN_MORAVIA</x:v>
      </x:c>
      <x:c r="C2" s="11" t="str">
        <x:v>UNI_MOR_CAMA_01</x:v>
      </x:c>
      <x:c r="D2" s="11" t="str">
        <x:v>CUL_LECHUGA</x:v>
      </x:c>
      <x:c r="E2" s="14" t="n">
        <x:v>46128</x:v>
      </x:c>
      <x:c r="F2" s="14"/>
      <x:c r="G2" s="11" t="n">
        <x:v>10</x:v>
      </x:c>
      <x:c r="H2" s="11" t="str">
        <x:v>Crecimiento</x:v>
      </x:c>
      <x:c r="I2" s="14" t="n">
        <x:v>46128</x:v>
      </x:c>
      <x:c r="J2" s="14" t="n">
        <x:v>46163</x:v>
      </x:c>
      <x:c r="K2" s="14" t="n">
        <x:v>46178</x:v>
      </x:c>
      <x:c r="L2" s="11" t="str">
        <x:v>Completa</x:v>
      </x:c>
      <x:c r="M2" s="11" t="str"/>
    </x:row>
    <x:row r="3">
      <x:c r="A3" s="11" t="str">
        <x:v>SIE_MOR_002</x:v>
      </x:c>
      <x:c r="B3" s="11" t="str">
        <x:v>FIN_MORAVIA</x:v>
      </x:c>
      <x:c r="C3" s="11" t="str">
        <x:v>UNI_MOR_CAMA_01</x:v>
      </x:c>
      <x:c r="D3" s="11" t="str">
        <x:v>CUL_CEBOLLINO</x:v>
      </x:c>
      <x:c r="E3" s="14" t="n">
        <x:v>46032</x:v>
      </x:c>
      <x:c r="F3" s="14"/>
      <x:c r="G3" s="11" t="n">
        <x:v>1</x:v>
      </x:c>
      <x:c r="H3" s="11" t="str">
        <x:v>Crecimiento</x:v>
      </x:c>
      <x:c r="I3" s="14" t="n">
        <x:v>46032</x:v>
      </x:c>
      <x:c r="J3" s="14" t="n">
        <x:v>46092</x:v>
      </x:c>
      <x:c r="K3" s="14" t="n">
        <x:v>46122</x:v>
      </x:c>
      <x:c r="L3" s="11" t="str">
        <x:v>Completa</x:v>
      </x:c>
      <x:c r="M3" s="11" t="str"/>
    </x:row>
    <x:row r="4">
      <x:c r="A4" s="11" t="str">
        <x:v>SIE_MOR_003</x:v>
      </x:c>
      <x:c r="B4" s="11" t="str">
        <x:v>FIN_MORAVIA</x:v>
      </x:c>
      <x:c r="C4" s="11" t="str">
        <x:v>UNI_MOR_CAMA_01</x:v>
      </x:c>
      <x:c r="D4" s="11" t="str">
        <x:v>CUL_TOMATE_CHERRY</x:v>
      </x:c>
      <x:c r="E4" s="14" t="n">
        <x:v>46128</x:v>
      </x:c>
      <x:c r="F4" s="14"/>
      <x:c r="G4" s="11" t="n">
        <x:v>1</x:v>
      </x:c>
      <x:c r="H4" s="11" t="str">
        <x:v>Floración</x:v>
      </x:c>
      <x:c r="I4" s="14" t="n">
        <x:v>46128</x:v>
      </x:c>
      <x:c r="J4" s="14" t="n">
        <x:v>46203</x:v>
      </x:c>
      <x:c r="K4" s="14" t="n">
        <x:v>46228</x:v>
      </x:c>
      <x:c r="L4" s="11" t="str">
        <x:v>Completa</x:v>
      </x:c>
      <x:c r="M4" s="11" t="str"/>
    </x:row>
    <x:row r="5">
      <x:c r="A5" s="11" t="str">
        <x:v>SIE_MOR_004</x:v>
      </x:c>
      <x:c r="B5" s="11" t="str">
        <x:v>FIN_MORAVIA</x:v>
      </x:c>
      <x:c r="C5" s="11" t="str">
        <x:v>UNI_MOR_CAMA_01</x:v>
      </x:c>
      <x:c r="D5" s="11" t="str">
        <x:v>CUL_PEREJIL_ITALIANO</x:v>
      </x:c>
      <x:c r="E5" s="14" t="n">
        <x:v>46032</x:v>
      </x:c>
      <x:c r="F5" s="14"/>
      <x:c r="G5" s="11" t="n">
        <x:v>1</x:v>
      </x:c>
      <x:c r="H5" s="11" t="str">
        <x:v>Crecimiento</x:v>
      </x:c>
      <x:c r="I5" s="14" t="n">
        <x:v>46032</x:v>
      </x:c>
      <x:c r="J5" s="14" t="n">
        <x:v>46102</x:v>
      </x:c>
      <x:c r="K5" s="14" t="n">
        <x:v>46132</x:v>
      </x:c>
      <x:c r="L5" s="11" t="str">
        <x:v>Completa</x:v>
      </x:c>
      <x:c r="M5" s="11" t="str"/>
    </x:row>
    <x:row r="6">
      <x:c r="A6" s="11" t="str">
        <x:v>SIE_MOR_005</x:v>
      </x:c>
      <x:c r="B6" s="11" t="str">
        <x:v>FIN_MORAVIA</x:v>
      </x:c>
      <x:c r="C6" s="11" t="str">
        <x:v>UNI_MOR_CAMA_01</x:v>
      </x:c>
      <x:c r="D6" s="11" t="str">
        <x:v>CUL_PEREJIL_NORMAL</x:v>
      </x:c>
      <x:c r="E6" s="14" t="n">
        <x:v>46032</x:v>
      </x:c>
      <x:c r="F6" s="14"/>
      <x:c r="G6" s="11" t="n">
        <x:v>1</x:v>
      </x:c>
      <x:c r="H6" s="11" t="str">
        <x:v>Crecimiento</x:v>
      </x:c>
      <x:c r="I6" s="14" t="n">
        <x:v>46032</x:v>
      </x:c>
      <x:c r="J6" s="14" t="n">
        <x:v>46102</x:v>
      </x:c>
      <x:c r="K6" s="14" t="n">
        <x:v>46132</x:v>
      </x:c>
      <x:c r="L6" s="11" t="str">
        <x:v>Completa</x:v>
      </x:c>
      <x:c r="M6" s="11" t="str"/>
    </x:row>
    <x:row r="7">
      <x:c r="A7" s="11" t="str">
        <x:v>SIE_MOR_006</x:v>
      </x:c>
      <x:c r="B7" s="11" t="str">
        <x:v>FIN_MORAVIA</x:v>
      </x:c>
      <x:c r="C7" s="11" t="str">
        <x:v>UNI_MOR_CAMA_01</x:v>
      </x:c>
      <x:c r="D7" s="11" t="str">
        <x:v>CUL_ESPINACA</x:v>
      </x:c>
      <x:c r="E7" s="14" t="n">
        <x:v>46128</x:v>
      </x:c>
      <x:c r="F7" s="14"/>
      <x:c r="G7" s="11" t="n">
        <x:v>1</x:v>
      </x:c>
      <x:c r="H7" s="11" t="str">
        <x:v>Crecimiento</x:v>
      </x:c>
      <x:c r="I7" s="14" t="n">
        <x:v>46128</x:v>
      </x:c>
      <x:c r="J7" s="14" t="n">
        <x:v>46168</x:v>
      </x:c>
      <x:c r="K7" s="14" t="n">
        <x:v>46188</x:v>
      </x:c>
      <x:c r="L7" s="11" t="str">
        <x:v>Completa</x:v>
      </x:c>
      <x:c r="M7" s="11" t="str"/>
    </x:row>
    <x:row r="8">
      <x:c r="A8" s="11" t="str">
        <x:v>SIE_MOR_007</x:v>
      </x:c>
      <x:c r="B8" s="11" t="str">
        <x:v>FIN_MORAVIA</x:v>
      </x:c>
      <x:c r="C8" s="11" t="str">
        <x:v>UNI_MOR_CAMA_01</x:v>
      </x:c>
      <x:c r="D8" s="11" t="str">
        <x:v>CUL_APIO</x:v>
      </x:c>
      <x:c r="E8" s="14" t="n">
        <x:v>46101</x:v>
      </x:c>
      <x:c r="F8" s="14"/>
      <x:c r="G8" s="11" t="n">
        <x:v>1</x:v>
      </x:c>
      <x:c r="H8" s="11" t="str">
        <x:v>Crecimiento</x:v>
      </x:c>
      <x:c r="I8" s="14" t="n">
        <x:v>46101</x:v>
      </x:c>
      <x:c r="J8" s="14" t="n">
        <x:v>46191</x:v>
      </x:c>
      <x:c r="K8" s="14" t="n">
        <x:v>46221</x:v>
      </x:c>
      <x:c r="L8" s="11" t="str">
        <x:v>Completa</x:v>
      </x:c>
      <x:c r="M8" s="11" t="str"/>
    </x:row>
    <x:row r="9">
      <x:c r="A9" s="11" t="str">
        <x:v>SIE_MOR_008</x:v>
      </x:c>
      <x:c r="B9" s="11" t="str">
        <x:v>FIN_MORAVIA</x:v>
      </x:c>
      <x:c r="C9" s="11" t="str">
        <x:v>UNI_MOR_CAMA_01</x:v>
      </x:c>
      <x:c r="D9" s="11" t="str">
        <x:v>CUL_DISPONIBLE</x:v>
      </x:c>
      <x:c r="E9" s="14"/>
      <x:c r="F9" s="14"/>
      <x:c r="G9" s="11" t="n">
        <x:v>1</x:v>
      </x:c>
      <x:c r="H9" s="11" t="str">
        <x:v>Disponible</x:v>
      </x:c>
      <x:c r="I9" s="14"/>
      <x:c r="J9" s="14"/>
      <x:c r="K9" s="14"/>
      <x:c r="L9" s="11" t="str">
        <x:v>Completa</x:v>
      </x:c>
      <x:c r="M9" s="11" t="str">
        <x:v>Espacio disponible</x:v>
      </x:c>
    </x:row>
    <x:row r="10">
      <x:c r="A10" s="11" t="str">
        <x:v>SIE_FRA_001</x:v>
      </x:c>
      <x:c r="B10" s="11" t="str">
        <x:v>FIN_FRAILES</x:v>
      </x:c>
      <x:c r="C10" s="11" t="str">
        <x:v>UNI_FRA_CAMA_01</x:v>
      </x:c>
      <x:c r="D10" s="11" t="str">
        <x:v>CUL_LECHUGA</x:v>
      </x:c>
      <x:c r="E10" s="14"/>
      <x:c r="F10" s="14" t="n">
        <x:v>46137</x:v>
      </x:c>
      <x:c r="G10" s="11" t="n">
        <x:v>9</x:v>
      </x:c>
      <x:c r="H10" s="11" t="str">
        <x:v>Crecimiento</x:v>
      </x:c>
      <x:c r="I10" s="14" t="n">
        <x:v>46137</x:v>
      </x:c>
      <x:c r="J10" s="14" t="n">
        <x:v>46172</x:v>
      </x:c>
      <x:c r="K10" s="14" t="n">
        <x:v>46187</x:v>
      </x:c>
      <x:c r="L10" s="11" t="str">
        <x:v>Completa</x:v>
      </x:c>
      <x:c r="M10" s="11" t="str"/>
    </x:row>
    <x:row r="11">
      <x:c r="A11" s="11" t="str">
        <x:v>SIE_FRA_002</x:v>
      </x:c>
      <x:c r="B11" s="11" t="str">
        <x:v>FIN_FRAILES</x:v>
      </x:c>
      <x:c r="C11" s="11" t="str">
        <x:v>UNI_FRA_CAMA_01</x:v>
      </x:c>
      <x:c r="D11" s="11" t="str">
        <x:v>CUL_ACELGA</x:v>
      </x:c>
      <x:c r="E11" s="14"/>
      <x:c r="F11" s="14" t="n">
        <x:v>46172</x:v>
      </x:c>
      <x:c r="G11" s="11" t="n">
        <x:v>5</x:v>
      </x:c>
      <x:c r="H11" s="11" t="str">
        <x:v>Crecimiento</x:v>
      </x:c>
      <x:c r="I11" s="14" t="n">
        <x:v>46172</x:v>
      </x:c>
      <x:c r="J11" s="14" t="n">
        <x:v>46217</x:v>
      </x:c>
      <x:c r="K11" s="14" t="n">
        <x:v>46237</x:v>
      </x:c>
      <x:c r="L11" s="11" t="str">
        <x:v>Completa</x:v>
      </x:c>
      <x:c r="M11" s="11" t="str"/>
    </x:row>
    <x:row r="12">
      <x:c r="A12" s="11" t="str">
        <x:v>SIE_FRA_003</x:v>
      </x:c>
      <x:c r="B12" s="11" t="str">
        <x:v>FIN_FRAILES</x:v>
      </x:c>
      <x:c r="C12" s="11" t="str">
        <x:v>UNI_FRA_CAMA_01</x:v>
      </x:c>
      <x:c r="D12" s="11" t="str">
        <x:v>CUL_PEPINO</x:v>
      </x:c>
      <x:c r="E12" s="14"/>
      <x:c r="F12" s="14" t="n">
        <x:v>46137</x:v>
      </x:c>
      <x:c r="G12" s="11" t="n">
        <x:v>2</x:v>
      </x:c>
      <x:c r="H12" s="11" t="str">
        <x:v>Floración</x:v>
      </x:c>
      <x:c r="I12" s="14" t="n">
        <x:v>46137</x:v>
      </x:c>
      <x:c r="J12" s="14" t="n">
        <x:v>46182</x:v>
      </x:c>
      <x:c r="K12" s="14" t="n">
        <x:v>46202</x:v>
      </x:c>
      <x:c r="L12" s="11" t="str">
        <x:v>Completa</x:v>
      </x:c>
      <x:c r="M12" s="11" t="str"/>
    </x:row>
    <x:row r="13">
      <x:c r="A13" s="11" t="str">
        <x:v>SIE_FRA_004</x:v>
      </x:c>
      <x:c r="B13" s="11" t="str">
        <x:v>FIN_FRAILES</x:v>
      </x:c>
      <x:c r="C13" s="11" t="str">
        <x:v>UNI_FRA_CAMA_01</x:v>
      </x:c>
      <x:c r="D13" s="11" t="str">
        <x:v>CUL_SANDIA</x:v>
      </x:c>
      <x:c r="E13" s="14"/>
      <x:c r="F13" s="14" t="n">
        <x:v>46137</x:v>
      </x:c>
      <x:c r="G13" s="11" t="n">
        <x:v>2</x:v>
      </x:c>
      <x:c r="H13" s="11" t="str">
        <x:v>Crecimiento</x:v>
      </x:c>
      <x:c r="I13" s="14" t="n">
        <x:v>46137</x:v>
      </x:c>
      <x:c r="J13" s="14" t="n">
        <x:v>46217</x:v>
      </x:c>
      <x:c r="K13" s="14" t="n">
        <x:v>46237</x:v>
      </x:c>
      <x:c r="L13" s="11" t="str">
        <x:v>Completa</x:v>
      </x:c>
      <x:c r="M13" s="11" t="str"/>
    </x:row>
    <x:row r="14">
      <x:c r="A14" s="11" t="str">
        <x:v>SIE_FRA_005</x:v>
      </x:c>
      <x:c r="B14" s="11" t="str">
        <x:v>FIN_FRAILES</x:v>
      </x:c>
      <x:c r="C14" s="11" t="str">
        <x:v>UNI_FRA_CAMA_01</x:v>
      </x:c>
      <x:c r="D14" s="11" t="str">
        <x:v>CUL_AYOTE</x:v>
      </x:c>
      <x:c r="E14" s="14"/>
      <x:c r="F14" s="14" t="n">
        <x:v>46137</x:v>
      </x:c>
      <x:c r="G14" s="11" t="n">
        <x:v>1</x:v>
      </x:c>
      <x:c r="H14" s="11" t="str">
        <x:v>Crecimiento</x:v>
      </x:c>
      <x:c r="I14" s="14" t="n">
        <x:v>46137</x:v>
      </x:c>
      <x:c r="J14" s="14" t="n">
        <x:v>46227</x:v>
      </x:c>
      <x:c r="K14" s="14" t="n">
        <x:v>46257</x:v>
      </x:c>
      <x:c r="L14" s="11" t="str">
        <x:v>Completa</x:v>
      </x:c>
      <x:c r="M14" s="11" t="str"/>
    </x:row>
    <x:row r="15">
      <x:c r="A15" s="11" t="str">
        <x:v>SIE_FRA_006</x:v>
      </x:c>
      <x:c r="B15" s="11" t="str">
        <x:v>FIN_FRAILES</x:v>
      </x:c>
      <x:c r="C15" s="11" t="str">
        <x:v>UNI_FRA_CAMA_01</x:v>
      </x:c>
      <x:c r="D15" s="11" t="str">
        <x:v>CUL_ALBAHACA</x:v>
      </x:c>
      <x:c r="E15" s="14"/>
      <x:c r="F15" s="14" t="n">
        <x:v>46137</x:v>
      </x:c>
      <x:c r="G15" s="11" t="n">
        <x:v>1</x:v>
      </x:c>
      <x:c r="H15" s="11" t="str">
        <x:v>Crecimiento</x:v>
      </x:c>
      <x:c r="I15" s="14" t="n">
        <x:v>46137</x:v>
      </x:c>
      <x:c r="J15" s="14" t="n">
        <x:v>46172</x:v>
      </x:c>
      <x:c r="K15" s="14" t="n">
        <x:v>46187</x:v>
      </x:c>
      <x:c r="L15" s="11" t="str">
        <x:v>Completa</x:v>
      </x:c>
      <x:c r="M15" s="11" t="str"/>
    </x:row>
    <x:row r="16">
      <x:c r="A16" s="11" t="str">
        <x:v>SIE_FRA_007</x:v>
      </x:c>
      <x:c r="B16" s="11" t="str">
        <x:v>FIN_FRAILES</x:v>
      </x:c>
      <x:c r="C16" s="11" t="str">
        <x:v>UNI_FRA_CAMA_02</x:v>
      </x:c>
      <x:c r="D16" s="11" t="str">
        <x:v>CUL_TOMATE_CHERRY</x:v>
      </x:c>
      <x:c r="E16" s="14" t="n">
        <x:v>46137</x:v>
      </x:c>
      <x:c r="F16" s="14"/>
      <x:c r="G16" s="11" t="n">
        <x:v>6</x:v>
      </x:c>
      <x:c r="H16" s="11" t="str">
        <x:v>Crecimiento</x:v>
      </x:c>
      <x:c r="I16" s="14" t="n">
        <x:v>46137</x:v>
      </x:c>
      <x:c r="J16" s="14" t="n">
        <x:v>46212</x:v>
      </x:c>
      <x:c r="K16" s="14" t="n">
        <x:v>46237</x:v>
      </x:c>
      <x:c r="L16" s="11" t="str">
        <x:v>Completa</x:v>
      </x:c>
      <x:c r="M16" s="11" t="str"/>
    </x:row>
    <x:row r="17">
      <x:c r="A17" s="11" t="str">
        <x:v>SIE_FRA_008</x:v>
      </x:c>
      <x:c r="B17" s="11" t="str">
        <x:v>FIN_FRAILES</x:v>
      </x:c>
      <x:c r="C17" s="11" t="str">
        <x:v>UNI_FRA_CAMA_02</x:v>
      </x:c>
      <x:c r="D17" s="11" t="str">
        <x:v>CUL_CULANTRO</x:v>
      </x:c>
      <x:c r="E17" s="14" t="n">
        <x:v>46172</x:v>
      </x:c>
      <x:c r="F17" s="14"/>
      <x:c r="G17" s="11" t="n">
        <x:v>20</x:v>
      </x:c>
      <x:c r="H17" s="11" t="str">
        <x:v>Crecimiento</x:v>
      </x:c>
      <x:c r="I17" s="14" t="n">
        <x:v>46172</x:v>
      </x:c>
      <x:c r="J17" s="14" t="n">
        <x:v>46212</x:v>
      </x:c>
      <x:c r="K17" s="14" t="n">
        <x:v>46232</x:v>
      </x:c>
      <x:c r="L17" s="11" t="str">
        <x:v>Completa</x:v>
      </x:c>
      <x:c r="M17" s="11" t="str"/>
    </x:row>
    <x:row r="18">
      <x:c r="A18" s="11" t="str">
        <x:v>SIE_FRA_009</x:v>
      </x:c>
      <x:c r="B18" s="11" t="str">
        <x:v>FIN_FRAILES</x:v>
      </x:c>
      <x:c r="C18" s="11" t="str">
        <x:v>UNI_FRA_CAMA_02</x:v>
      </x:c>
      <x:c r="D18" s="11" t="str">
        <x:v>CUL_CEBOLLA_BLANCA</x:v>
      </x:c>
      <x:c r="E18" s="14" t="n">
        <x:v>46137</x:v>
      </x:c>
      <x:c r="F18" s="14" t="n">
        <x:v>46137</x:v>
      </x:c>
      <x:c r="G18" s="11" t="n">
        <x:v>50</x:v>
      </x:c>
      <x:c r="H18" s="11" t="str">
        <x:v>Crecimiento</x:v>
      </x:c>
      <x:c r="I18" s="14" t="n">
        <x:v>46137</x:v>
      </x:c>
      <x:c r="J18" s="14" t="n">
        <x:v>46227</x:v>
      </x:c>
      <x:c r="K18" s="14" t="n">
        <x:v>46257</x:v>
      </x:c>
      <x:c r="L18" s="11" t="str">
        <x:v>Completa</x:v>
      </x:c>
      <x:c r="M18" s="11" t="str"/>
    </x:row>
    <x:row r="19">
      <x:c r="A19" s="11" t="str">
        <x:v>SIE_FRA_010</x:v>
      </x:c>
      <x:c r="B19" s="11" t="str">
        <x:v>FIN_FRAILES</x:v>
      </x:c>
      <x:c r="C19" s="11" t="str">
        <x:v>UNI_FRA_CAMA_03</x:v>
      </x:c>
      <x:c r="D19" s="11" t="str">
        <x:v>CUL_TOMATE_CHERRY</x:v>
      </x:c>
      <x:c r="E19" s="14" t="n">
        <x:v>46137</x:v>
      </x:c>
      <x:c r="F19" s="14"/>
      <x:c r="G19" s="11" t="n">
        <x:v>6</x:v>
      </x:c>
      <x:c r="H19" s="11" t="str">
        <x:v>Crecimiento</x:v>
      </x:c>
      <x:c r="I19" s="14" t="n">
        <x:v>46137</x:v>
      </x:c>
      <x:c r="J19" s="14" t="n">
        <x:v>46212</x:v>
      </x:c>
      <x:c r="K19" s="14" t="n">
        <x:v>46237</x:v>
      </x:c>
      <x:c r="L19" s="11" t="str">
        <x:v>Completa</x:v>
      </x:c>
      <x:c r="M19" s="11" t="str"/>
    </x:row>
    <x:row r="20">
      <x:c r="A20" s="11" t="str">
        <x:v>SIE_FRA_011</x:v>
      </x:c>
      <x:c r="B20" s="11" t="str">
        <x:v>FIN_FRAILES</x:v>
      </x:c>
      <x:c r="C20" s="11" t="str">
        <x:v>UNI_FRA_CAMA_03</x:v>
      </x:c>
      <x:c r="D20" s="11" t="str">
        <x:v>CUL_CULANTRO</x:v>
      </x:c>
      <x:c r="E20" s="14" t="n">
        <x:v>46137</x:v>
      </x:c>
      <x:c r="F20" s="14"/>
      <x:c r="G20" s="11" t="n">
        <x:v>40</x:v>
      </x:c>
      <x:c r="H20" s="11" t="str">
        <x:v>Crecimiento</x:v>
      </x:c>
      <x:c r="I20" s="14" t="n">
        <x:v>46137</x:v>
      </x:c>
      <x:c r="J20" s="14" t="n">
        <x:v>46177</x:v>
      </x:c>
      <x:c r="K20" s="14" t="n">
        <x:v>46197</x:v>
      </x:c>
      <x:c r="L20" s="11" t="str">
        <x:v>Completa</x:v>
      </x:c>
      <x:c r="M20" s="11" t="str"/>
    </x:row>
    <x:row r="21">
      <x:c r="A21" s="11" t="str">
        <x:v>SIE_FRA_012</x:v>
      </x:c>
      <x:c r="B21" s="11" t="str">
        <x:v>FIN_FRAILES</x:v>
      </x:c>
      <x:c r="C21" s="11" t="str">
        <x:v>UNI_FRA_CAMA_03</x:v>
      </x:c>
      <x:c r="D21" s="11" t="str">
        <x:v>CUL_CHILE_DULCE</x:v>
      </x:c>
      <x:c r="E21" s="14" t="n">
        <x:v>46137</x:v>
      </x:c>
      <x:c r="F21" s="14"/>
      <x:c r="G21" s="11" t="n">
        <x:v>6</x:v>
      </x:c>
      <x:c r="H21" s="11" t="str">
        <x:v>Crecimiento</x:v>
      </x:c>
      <x:c r="I21" s="14" t="n">
        <x:v>46137</x:v>
      </x:c>
      <x:c r="J21" s="14" t="n">
        <x:v>46212</x:v>
      </x:c>
      <x:c r="K21" s="14" t="n">
        <x:v>46237</x:v>
      </x:c>
      <x:c r="L21" s="11" t="str">
        <x:v>Completa</x:v>
      </x:c>
      <x:c r="M21" s="11" t="str"/>
    </x:row>
    <x:row r="22">
      <x:c r="A22" s="11" t="str">
        <x:v>SIE_FRA_013</x:v>
      </x:c>
      <x:c r="B22" s="11" t="str">
        <x:v>FIN_FRAILES</x:v>
      </x:c>
      <x:c r="C22" s="11" t="str">
        <x:v>UNI_FRA_CAMA_05</x:v>
      </x:c>
      <x:c r="D22" s="11" t="str">
        <x:v>CUL_CEBOLLA_MORADA</x:v>
      </x:c>
      <x:c r="E22" s="14" t="n">
        <x:v>46172</x:v>
      </x:c>
      <x:c r="F22" s="14" t="n">
        <x:v>46172</x:v>
      </x:c>
      <x:c r="G22" s="11" t="n">
        <x:v>50</x:v>
      </x:c>
      <x:c r="H22" s="11" t="str">
        <x:v>Crecimiento</x:v>
      </x:c>
      <x:c r="I22" s="14" t="n">
        <x:v>46172</x:v>
      </x:c>
      <x:c r="J22" s="14" t="n">
        <x:v>46262</x:v>
      </x:c>
      <x:c r="K22" s="14" t="n">
        <x:v>46292</x:v>
      </x:c>
      <x:c r="L22" s="11" t="str">
        <x:v>Completa</x:v>
      </x:c>
      <x:c r="M22" s="11" t="str"/>
    </x:row>
    <x:row r="23">
      <x:c r="A23" s="11" t="str">
        <x:v>SIE_FRA_014</x:v>
      </x:c>
      <x:c r="B23" s="11" t="str">
        <x:v>FIN_FRAILES</x:v>
      </x:c>
      <x:c r="C23" s="11" t="str">
        <x:v>UNI_FRA_CAMA_05</x:v>
      </x:c>
      <x:c r="D23" s="11" t="str">
        <x:v>CUL_ARUGULA</x:v>
      </x:c>
      <x:c r="E23" s="14" t="n">
        <x:v>46172</x:v>
      </x:c>
      <x:c r="F23" s="14"/>
      <x:c r="G23" s="11" t="n">
        <x:v>6</x:v>
      </x:c>
      <x:c r="H23" s="11" t="str">
        <x:v>Crecimiento</x:v>
      </x:c>
      <x:c r="I23" s="14" t="n">
        <x:v>46172</x:v>
      </x:c>
      <x:c r="J23" s="14" t="n">
        <x:v>46197</x:v>
      </x:c>
      <x:c r="K23" s="14" t="n">
        <x:v>46212</x:v>
      </x:c>
      <x:c r="L23" s="11" t="str">
        <x:v>Completa</x:v>
      </x:c>
      <x:c r="M23" s="11" t="str"/>
    </x:row>
    <x:row r="24">
      <x:c r="A24" s="11" t="str">
        <x:v>SIE_FRA_015</x:v>
      </x:c>
      <x:c r="B24" s="11" t="str">
        <x:v>FIN_FRAILES</x:v>
      </x:c>
      <x:c r="C24" s="11" t="str">
        <x:v>UNI_FRA_CAMA_05</x:v>
      </x:c>
      <x:c r="D24" s="11" t="str">
        <x:v>CUL_DISPONIBLE</x:v>
      </x:c>
      <x:c r="E24" s="14"/>
      <x:c r="F24" s="14"/>
      <x:c r="G24" s="11" t="n">
        <x:v>1</x:v>
      </x:c>
      <x:c r="H24" s="11" t="str">
        <x:v>Disponible</x:v>
      </x:c>
      <x:c r="I24" s="14"/>
      <x:c r="J24" s="14"/>
      <x:c r="K24" s="14"/>
      <x:c r="L24" s="11" t="str">
        <x:v>Completa</x:v>
      </x:c>
      <x:c r="M24" s="11" t="str">
        <x:v>Espacio disponible</x:v>
      </x:c>
    </x:row>
    <x:row r="25">
      <x:c r="A25" s="11" t="str">
        <x:v>SIE_FRA_016</x:v>
      </x:c>
      <x:c r="B25" s="11" t="str">
        <x:v>FIN_FRAILES</x:v>
      </x:c>
      <x:c r="C25" s="11" t="str">
        <x:v>UNI_FRA_CAMA_06</x:v>
      </x:c>
      <x:c r="D25" s="11" t="str">
        <x:v>CUL_ZUCCHINI</x:v>
      </x:c>
      <x:c r="E25" s="14" t="n">
        <x:v>46137</x:v>
      </x:c>
      <x:c r="F25" s="14"/>
      <x:c r="G25" s="11" t="n">
        <x:v>8</x:v>
      </x:c>
      <x:c r="H25" s="11" t="str">
        <x:v>Crecimiento</x:v>
      </x:c>
      <x:c r="I25" s="14" t="n">
        <x:v>46137</x:v>
      </x:c>
      <x:c r="J25" s="14" t="n">
        <x:v>46182</x:v>
      </x:c>
      <x:c r="K25" s="14" t="n">
        <x:v>46202</x:v>
      </x:c>
      <x:c r="L25" s="11" t="str">
        <x:v>Completa</x:v>
      </x:c>
      <x:c r="M25" s="11" t="str"/>
    </x:row>
    <x:row r="26">
      <x:c r="A26" s="11" t="str">
        <x:v>SIE_FRA_017</x:v>
      </x:c>
      <x:c r="B26" s="11" t="str">
        <x:v>FIN_FRAILES</x:v>
      </x:c>
      <x:c r="C26" s="11" t="str">
        <x:v>UNI_FRA_CAMA_07</x:v>
      </x:c>
      <x:c r="D26" s="11" t="str">
        <x:v>CUL_ZANAHORIA</x:v>
      </x:c>
      <x:c r="E26" s="14" t="n">
        <x:v>46152</x:v>
      </x:c>
      <x:c r="F26" s="14"/>
      <x:c r="G26" s="11" t="n">
        <x:v>35</x:v>
      </x:c>
      <x:c r="H26" s="11" t="str">
        <x:v>Crecimiento</x:v>
      </x:c>
      <x:c r="I26" s="14" t="n">
        <x:v>46152</x:v>
      </x:c>
      <x:c r="J26" s="14" t="n">
        <x:v>46232</x:v>
      </x:c>
      <x:c r="K26" s="14" t="n">
        <x:v>46262</x:v>
      </x:c>
      <x:c r="L26" s="11" t="str">
        <x:v>Completa</x:v>
      </x:c>
      <x:c r="M26" s="11" t="str"/>
    </x:row>
  </x:sheetData>
  <x:pageMargins left="0.7" right="0.7" top="0.75" bottom="0.75" header="0.3" footer="0.3"/>
  <x:tableParts count="1">
    <x:tablePart xmlns:r="http://schemas.openxmlformats.org/officeDocument/2006/relationships" r:id="R9e72ee909b7e401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1" hidden="0" customWidth="1"/>
    <x:col min="6" max="6" width="15" hidden="0" customWidth="1"/>
    <x:col min="7" max="7" width="10" hidden="0" customWidth="1"/>
    <x:col min="8" max="8" width="12" hidden="0" customWidth="1"/>
    <x:col min="9" max="9" width="10" hidden="0" customWidth="1"/>
    <x:col min="10" max="10" width="15" hidden="0" customWidth="1"/>
    <x:col min="11" max="11" width="15" hidden="0" customWidth="1"/>
    <x:col min="12" max="12" width="18" hidden="0" customWidth="1"/>
    <x:col min="13" max="13" width="12" hidden="0" customWidth="1"/>
    <x:col min="14" max="14" width="13" hidden="0" customWidth="1"/>
    <x:col min="15" max="15" width="13" hidden="0" customWidth="1"/>
    <x:col min="16" max="16" width="14" hidden="0" customWidth="1"/>
    <x:col min="17" max="17" width="13" hidden="0" customWidth="1"/>
  </x:cols>
  <x:sheetData>
    <x:row r="1">
      <x:c r="A1" s="10" t="str">
        <x:v>Siembra_ID</x:v>
      </x:c>
      <x:c r="B1" s="10" t="str">
        <x:v>Finca</x:v>
      </x:c>
      <x:c r="C1" s="10" t="str">
        <x:v>Finca_ID</x:v>
      </x:c>
      <x:c r="D1" s="10" t="str">
        <x:v>Unidad</x:v>
      </x:c>
      <x:c r="E1" s="10" t="str">
        <x:v>Unidad_ID</x:v>
      </x:c>
      <x:c r="F1" s="10" t="str">
        <x:v>Estado_Unidad</x:v>
      </x:c>
      <x:c r="G1" s="10" t="str">
        <x:v>Cultivo</x:v>
      </x:c>
      <x:c r="H1" s="10" t="str">
        <x:v>Cultivo_ID</x:v>
      </x:c>
      <x:c r="I1" s="10" t="str">
        <x:v>Cantidad</x:v>
      </x:c>
      <x:c r="J1" s="10" t="str">
        <x:v>Estado_Actual</x:v>
      </x:c>
      <x:c r="K1" s="10" t="str">
        <x:v>Fecha_Siembra</x:v>
      </x:c>
      <x:c r="L1" s="10" t="str">
        <x:v>Fecha_Trasplante</x:v>
      </x:c>
      <x:c r="M1" s="10" t="str">
        <x:v>Fecha_Base</x:v>
      </x:c>
      <x:c r="N1" s="10" t="str">
        <x:v>Cosecha_Min</x:v>
      </x:c>
      <x:c r="O1" s="10" t="str">
        <x:v>Cosecha_Max</x:v>
      </x:c>
      <x:c r="P1" s="10" t="str">
        <x:v>Alerta_Datos</x:v>
      </x:c>
      <x:c r="Q1" s="10" t="str">
        <x:v>Mes_Cosecha</x:v>
      </x:c>
    </x:row>
    <x:row r="2">
      <x:c r="A2" s="11" t="str">
        <x:v>SIE_MOR_001</x:v>
      </x:c>
      <x:c r="B2" s="11" t="str">
        <x:v>Moravia</x:v>
      </x:c>
      <x:c r="C2" s="11" t="str">
        <x:v>FIN_MORAVIA</x:v>
      </x:c>
      <x:c r="D2" s="11" t="str">
        <x:v>Cama Moravia 1</x:v>
      </x:c>
      <x:c r="E2" s="11" t="str">
        <x:v>UNI_MOR_CAMA_01</x:v>
      </x:c>
      <x:c r="F2" s="11" t="str">
        <x:v>Activa</x:v>
      </x:c>
      <x:c r="G2" s="11" t="str">
        <x:v>Lechuga</x:v>
      </x:c>
      <x:c r="H2" s="11" t="str">
        <x:v>CUL_LECHUGA</x:v>
      </x:c>
      <x:c r="I2" s="11" t="n">
        <x:v>10</x:v>
      </x:c>
      <x:c r="J2" s="11" t="str">
        <x:v>Crecimiento</x:v>
      </x:c>
      <x:c r="K2" s="14" t="n">
        <x:v>46128</x:v>
      </x:c>
      <x:c r="L2" s="14"/>
      <x:c r="M2" s="14" t="n">
        <x:v>46128</x:v>
      </x:c>
      <x:c r="N2" s="14" t="n">
        <x:v>46163</x:v>
      </x:c>
      <x:c r="O2" s="14" t="n">
        <x:v>46178</x:v>
      </x:c>
      <x:c r="P2" s="11" t="str"/>
      <x:c r="Q2" s="11" t="str">
        <x:v>2026-05</x:v>
      </x:c>
    </x:row>
    <x:row r="3">
      <x:c r="A3" s="11" t="str">
        <x:v>SIE_MOR_002</x:v>
      </x:c>
      <x:c r="B3" s="11" t="str">
        <x:v>Moravia</x:v>
      </x:c>
      <x:c r="C3" s="11" t="str">
        <x:v>FIN_MORAVIA</x:v>
      </x:c>
      <x:c r="D3" s="11" t="str">
        <x:v>Cama Moravia 1</x:v>
      </x:c>
      <x:c r="E3" s="11" t="str">
        <x:v>UNI_MOR_CAMA_01</x:v>
      </x:c>
      <x:c r="F3" s="11" t="str">
        <x:v>Activa</x:v>
      </x:c>
      <x:c r="G3" s="11" t="str">
        <x:v>Cebollino</x:v>
      </x:c>
      <x:c r="H3" s="11" t="str">
        <x:v>CUL_CEBOLLINO</x:v>
      </x:c>
      <x:c r="I3" s="11" t="n">
        <x:v>1</x:v>
      </x:c>
      <x:c r="J3" s="11" t="str">
        <x:v>Crecimiento</x:v>
      </x:c>
      <x:c r="K3" s="14" t="n">
        <x:v>46032</x:v>
      </x:c>
      <x:c r="L3" s="14"/>
      <x:c r="M3" s="14" t="n">
        <x:v>46032</x:v>
      </x:c>
      <x:c r="N3" s="14" t="n">
        <x:v>46092</x:v>
      </x:c>
      <x:c r="O3" s="14" t="n">
        <x:v>46122</x:v>
      </x:c>
      <x:c r="P3" s="11" t="str"/>
      <x:c r="Q3" s="11" t="str">
        <x:v>2026-03</x:v>
      </x:c>
    </x:row>
    <x:row r="4">
      <x:c r="A4" s="11" t="str">
        <x:v>SIE_MOR_003</x:v>
      </x:c>
      <x:c r="B4" s="11" t="str">
        <x:v>Moravia</x:v>
      </x:c>
      <x:c r="C4" s="11" t="str">
        <x:v>FIN_MORAVIA</x:v>
      </x:c>
      <x:c r="D4" s="11" t="str">
        <x:v>Cama Moravia 1</x:v>
      </x:c>
      <x:c r="E4" s="11" t="str">
        <x:v>UNI_MOR_CAMA_01</x:v>
      </x:c>
      <x:c r="F4" s="11" t="str">
        <x:v>Activa</x:v>
      </x:c>
      <x:c r="G4" s="11" t="str">
        <x:v>Tomate cherry</x:v>
      </x:c>
      <x:c r="H4" s="11" t="str">
        <x:v>CUL_TOMATE_CHERRY</x:v>
      </x:c>
      <x:c r="I4" s="11" t="n">
        <x:v>1</x:v>
      </x:c>
      <x:c r="J4" s="11" t="str">
        <x:v>Floración</x:v>
      </x:c>
      <x:c r="K4" s="14" t="n">
        <x:v>46128</x:v>
      </x:c>
      <x:c r="L4" s="14"/>
      <x:c r="M4" s="14" t="n">
        <x:v>46128</x:v>
      </x:c>
      <x:c r="N4" s="14" t="n">
        <x:v>46203</x:v>
      </x:c>
      <x:c r="O4" s="14" t="n">
        <x:v>46228</x:v>
      </x:c>
      <x:c r="P4" s="11" t="str"/>
      <x:c r="Q4" s="11" t="str">
        <x:v>2026-06</x:v>
      </x:c>
    </x:row>
    <x:row r="5">
      <x:c r="A5" s="11" t="str">
        <x:v>SIE_MOR_004</x:v>
      </x:c>
      <x:c r="B5" s="11" t="str">
        <x:v>Moravia</x:v>
      </x:c>
      <x:c r="C5" s="11" t="str">
        <x:v>FIN_MORAVIA</x:v>
      </x:c>
      <x:c r="D5" s="11" t="str">
        <x:v>Cama Moravia 1</x:v>
      </x:c>
      <x:c r="E5" s="11" t="str">
        <x:v>UNI_MOR_CAMA_01</x:v>
      </x:c>
      <x:c r="F5" s="11" t="str">
        <x:v>Activa</x:v>
      </x:c>
      <x:c r="G5" s="11" t="str">
        <x:v>Perejil italiano</x:v>
      </x:c>
      <x:c r="H5" s="11" t="str">
        <x:v>CUL_PEREJIL_ITALIANO</x:v>
      </x:c>
      <x:c r="I5" s="11" t="n">
        <x:v>1</x:v>
      </x:c>
      <x:c r="J5" s="11" t="str">
        <x:v>Crecimiento</x:v>
      </x:c>
      <x:c r="K5" s="14" t="n">
        <x:v>46032</x:v>
      </x:c>
      <x:c r="L5" s="14"/>
      <x:c r="M5" s="14" t="n">
        <x:v>46032</x:v>
      </x:c>
      <x:c r="N5" s="14" t="n">
        <x:v>46102</x:v>
      </x:c>
      <x:c r="O5" s="14" t="n">
        <x:v>46132</x:v>
      </x:c>
      <x:c r="P5" s="11" t="str"/>
      <x:c r="Q5" s="11" t="str">
        <x:v>2026-03</x:v>
      </x:c>
    </x:row>
    <x:row r="6">
      <x:c r="A6" s="11" t="str">
        <x:v>SIE_MOR_005</x:v>
      </x:c>
      <x:c r="B6" s="11" t="str">
        <x:v>Moravia</x:v>
      </x:c>
      <x:c r="C6" s="11" t="str">
        <x:v>FIN_MORAVIA</x:v>
      </x:c>
      <x:c r="D6" s="11" t="str">
        <x:v>Cama Moravia 1</x:v>
      </x:c>
      <x:c r="E6" s="11" t="str">
        <x:v>UNI_MOR_CAMA_01</x:v>
      </x:c>
      <x:c r="F6" s="11" t="str">
        <x:v>Activa</x:v>
      </x:c>
      <x:c r="G6" s="11" t="str">
        <x:v>Perejil normal</x:v>
      </x:c>
      <x:c r="H6" s="11" t="str">
        <x:v>CUL_PEREJIL_NORMAL</x:v>
      </x:c>
      <x:c r="I6" s="11" t="n">
        <x:v>1</x:v>
      </x:c>
      <x:c r="J6" s="11" t="str">
        <x:v>Crecimiento</x:v>
      </x:c>
      <x:c r="K6" s="14" t="n">
        <x:v>46032</x:v>
      </x:c>
      <x:c r="L6" s="14"/>
      <x:c r="M6" s="14" t="n">
        <x:v>46032</x:v>
      </x:c>
      <x:c r="N6" s="14" t="n">
        <x:v>46102</x:v>
      </x:c>
      <x:c r="O6" s="14" t="n">
        <x:v>46132</x:v>
      </x:c>
      <x:c r="P6" s="11" t="str"/>
      <x:c r="Q6" s="11" t="str">
        <x:v>2026-03</x:v>
      </x:c>
    </x:row>
    <x:row r="7">
      <x:c r="A7" s="11" t="str">
        <x:v>SIE_MOR_006</x:v>
      </x:c>
      <x:c r="B7" s="11" t="str">
        <x:v>Moravia</x:v>
      </x:c>
      <x:c r="C7" s="11" t="str">
        <x:v>FIN_MORAVIA</x:v>
      </x:c>
      <x:c r="D7" s="11" t="str">
        <x:v>Cama Moravia 1</x:v>
      </x:c>
      <x:c r="E7" s="11" t="str">
        <x:v>UNI_MOR_CAMA_01</x:v>
      </x:c>
      <x:c r="F7" s="11" t="str">
        <x:v>Activa</x:v>
      </x:c>
      <x:c r="G7" s="11" t="str">
        <x:v>Espinaca</x:v>
      </x:c>
      <x:c r="H7" s="11" t="str">
        <x:v>CUL_ESPINACA</x:v>
      </x:c>
      <x:c r="I7" s="11" t="n">
        <x:v>1</x:v>
      </x:c>
      <x:c r="J7" s="11" t="str">
        <x:v>Crecimiento</x:v>
      </x:c>
      <x:c r="K7" s="14" t="n">
        <x:v>46128</x:v>
      </x:c>
      <x:c r="L7" s="14"/>
      <x:c r="M7" s="14" t="n">
        <x:v>46128</x:v>
      </x:c>
      <x:c r="N7" s="14" t="n">
        <x:v>46168</x:v>
      </x:c>
      <x:c r="O7" s="14" t="n">
        <x:v>46188</x:v>
      </x:c>
      <x:c r="P7" s="11" t="str"/>
      <x:c r="Q7" s="11" t="str">
        <x:v>2026-05</x:v>
      </x:c>
    </x:row>
    <x:row r="8">
      <x:c r="A8" s="11" t="str">
        <x:v>SIE_MOR_007</x:v>
      </x:c>
      <x:c r="B8" s="11" t="str">
        <x:v>Moravia</x:v>
      </x:c>
      <x:c r="C8" s="11" t="str">
        <x:v>FIN_MORAVIA</x:v>
      </x:c>
      <x:c r="D8" s="11" t="str">
        <x:v>Cama Moravia 1</x:v>
      </x:c>
      <x:c r="E8" s="11" t="str">
        <x:v>UNI_MOR_CAMA_01</x:v>
      </x:c>
      <x:c r="F8" s="11" t="str">
        <x:v>Activa</x:v>
      </x:c>
      <x:c r="G8" s="11" t="str">
        <x:v>Apio</x:v>
      </x:c>
      <x:c r="H8" s="11" t="str">
        <x:v>CUL_APIO</x:v>
      </x:c>
      <x:c r="I8" s="11" t="n">
        <x:v>1</x:v>
      </x:c>
      <x:c r="J8" s="11" t="str">
        <x:v>Crecimiento</x:v>
      </x:c>
      <x:c r="K8" s="14" t="n">
        <x:v>46101</x:v>
      </x:c>
      <x:c r="L8" s="14"/>
      <x:c r="M8" s="14" t="n">
        <x:v>46101</x:v>
      </x:c>
      <x:c r="N8" s="14" t="n">
        <x:v>46191</x:v>
      </x:c>
      <x:c r="O8" s="14" t="n">
        <x:v>46221</x:v>
      </x:c>
      <x:c r="P8" s="11" t="str"/>
      <x:c r="Q8" s="11" t="str">
        <x:v>2026-06</x:v>
      </x:c>
    </x:row>
    <x:row r="9">
      <x:c r="A9" s="11" t="str">
        <x:v>SIE_MOR_008</x:v>
      </x:c>
      <x:c r="B9" s="11" t="str">
        <x:v>Moravia</x:v>
      </x:c>
      <x:c r="C9" s="11" t="str">
        <x:v>FIN_MORAVIA</x:v>
      </x:c>
      <x:c r="D9" s="11" t="str">
        <x:v>Cama Moravia 1</x:v>
      </x:c>
      <x:c r="E9" s="11" t="str">
        <x:v>UNI_MOR_CAMA_01</x:v>
      </x:c>
      <x:c r="F9" s="11" t="str">
        <x:v>Activa</x:v>
      </x:c>
      <x:c r="G9" s="11" t="str">
        <x:v>Disponible</x:v>
      </x:c>
      <x:c r="H9" s="11" t="str">
        <x:v>CUL_DISPONIBLE</x:v>
      </x:c>
      <x:c r="I9" s="11" t="n">
        <x:v>1</x:v>
      </x:c>
      <x:c r="J9" s="11" t="str">
        <x:v>Disponible</x:v>
      </x:c>
      <x:c r="K9" s="14"/>
      <x:c r="L9" s="14"/>
      <x:c r="M9" s="14"/>
      <x:c r="N9" s="14"/>
      <x:c r="O9" s="14"/>
      <x:c r="P9" s="11" t="str"/>
      <x:c r="Q9" s="11" t="str">
        <x:v>Sin fecha</x:v>
      </x:c>
    </x:row>
    <x:row r="10">
      <x:c r="A10" s="11" t="str">
        <x:v>SIE_FRA_001</x:v>
      </x:c>
      <x:c r="B10" s="11" t="str">
        <x:v>Frailes</x:v>
      </x:c>
      <x:c r="C10" s="11" t="str">
        <x:v>FIN_FRAILES</x:v>
      </x:c>
      <x:c r="D10" s="11" t="str">
        <x:v>Cama Frailes 1</x:v>
      </x:c>
      <x:c r="E10" s="11" t="str">
        <x:v>UNI_FRA_CAMA_01</x:v>
      </x:c>
      <x:c r="F10" s="11" t="str">
        <x:v>Activa</x:v>
      </x:c>
      <x:c r="G10" s="11" t="str">
        <x:v>Lechuga</x:v>
      </x:c>
      <x:c r="H10" s="11" t="str">
        <x:v>CUL_LECHUGA</x:v>
      </x:c>
      <x:c r="I10" s="11" t="n">
        <x:v>9</x:v>
      </x:c>
      <x:c r="J10" s="11" t="str">
        <x:v>Crecimiento</x:v>
      </x:c>
      <x:c r="K10" s="14"/>
      <x:c r="L10" s="14" t="n">
        <x:v>46137</x:v>
      </x:c>
      <x:c r="M10" s="14" t="n">
        <x:v>46137</x:v>
      </x:c>
      <x:c r="N10" s="14" t="n">
        <x:v>46172</x:v>
      </x:c>
      <x:c r="O10" s="14" t="n">
        <x:v>46187</x:v>
      </x:c>
      <x:c r="P10" s="11" t="str"/>
      <x:c r="Q10" s="11" t="str">
        <x:v>2026-05</x:v>
      </x:c>
    </x:row>
    <x:row r="11">
      <x:c r="A11" s="11" t="str">
        <x:v>SIE_FRA_002</x:v>
      </x:c>
      <x:c r="B11" s="11" t="str">
        <x:v>Frailes</x:v>
      </x:c>
      <x:c r="C11" s="11" t="str">
        <x:v>FIN_FRAILES</x:v>
      </x:c>
      <x:c r="D11" s="11" t="str">
        <x:v>Cama Frailes 1</x:v>
      </x:c>
      <x:c r="E11" s="11" t="str">
        <x:v>UNI_FRA_CAMA_01</x:v>
      </x:c>
      <x:c r="F11" s="11" t="str">
        <x:v>Activa</x:v>
      </x:c>
      <x:c r="G11" s="11" t="str">
        <x:v>Acelga</x:v>
      </x:c>
      <x:c r="H11" s="11" t="str">
        <x:v>CUL_ACELGA</x:v>
      </x:c>
      <x:c r="I11" s="11" t="n">
        <x:v>5</x:v>
      </x:c>
      <x:c r="J11" s="11" t="str">
        <x:v>Crecimiento</x:v>
      </x:c>
      <x:c r="K11" s="14"/>
      <x:c r="L11" s="14" t="n">
        <x:v>46172</x:v>
      </x:c>
      <x:c r="M11" s="14" t="n">
        <x:v>46172</x:v>
      </x:c>
      <x:c r="N11" s="14" t="n">
        <x:v>46217</x:v>
      </x:c>
      <x:c r="O11" s="14" t="n">
        <x:v>46237</x:v>
      </x:c>
      <x:c r="P11" s="11" t="str"/>
      <x:c r="Q11" s="11" t="str">
        <x:v>2026-07</x:v>
      </x:c>
    </x:row>
    <x:row r="12">
      <x:c r="A12" s="11" t="str">
        <x:v>SIE_FRA_003</x:v>
      </x:c>
      <x:c r="B12" s="11" t="str">
        <x:v>Frailes</x:v>
      </x:c>
      <x:c r="C12" s="11" t="str">
        <x:v>FIN_FRAILES</x:v>
      </x:c>
      <x:c r="D12" s="11" t="str">
        <x:v>Cama Frailes 1</x:v>
      </x:c>
      <x:c r="E12" s="11" t="str">
        <x:v>UNI_FRA_CAMA_01</x:v>
      </x:c>
      <x:c r="F12" s="11" t="str">
        <x:v>Activa</x:v>
      </x:c>
      <x:c r="G12" s="11" t="str">
        <x:v>Pepino</x:v>
      </x:c>
      <x:c r="H12" s="11" t="str">
        <x:v>CUL_PEPINO</x:v>
      </x:c>
      <x:c r="I12" s="11" t="n">
        <x:v>2</x:v>
      </x:c>
      <x:c r="J12" s="11" t="str">
        <x:v>Floración</x:v>
      </x:c>
      <x:c r="K12" s="14"/>
      <x:c r="L12" s="14" t="n">
        <x:v>46137</x:v>
      </x:c>
      <x:c r="M12" s="14" t="n">
        <x:v>46137</x:v>
      </x:c>
      <x:c r="N12" s="14" t="n">
        <x:v>46182</x:v>
      </x:c>
      <x:c r="O12" s="14" t="n">
        <x:v>46202</x:v>
      </x:c>
      <x:c r="P12" s="11" t="str"/>
      <x:c r="Q12" s="11" t="str">
        <x:v>2026-06</x:v>
      </x:c>
    </x:row>
    <x:row r="13">
      <x:c r="A13" s="11" t="str">
        <x:v>SIE_FRA_004</x:v>
      </x:c>
      <x:c r="B13" s="11" t="str">
        <x:v>Frailes</x:v>
      </x:c>
      <x:c r="C13" s="11" t="str">
        <x:v>FIN_FRAILES</x:v>
      </x:c>
      <x:c r="D13" s="11" t="str">
        <x:v>Cama Frailes 1</x:v>
      </x:c>
      <x:c r="E13" s="11" t="str">
        <x:v>UNI_FRA_CAMA_01</x:v>
      </x:c>
      <x:c r="F13" s="11" t="str">
        <x:v>Activa</x:v>
      </x:c>
      <x:c r="G13" s="11" t="str">
        <x:v>Sandía</x:v>
      </x:c>
      <x:c r="H13" s="11" t="str">
        <x:v>CUL_SANDIA</x:v>
      </x:c>
      <x:c r="I13" s="11" t="n">
        <x:v>2</x:v>
      </x:c>
      <x:c r="J13" s="11" t="str">
        <x:v>Crecimiento</x:v>
      </x:c>
      <x:c r="K13" s="14"/>
      <x:c r="L13" s="14" t="n">
        <x:v>46137</x:v>
      </x:c>
      <x:c r="M13" s="14" t="n">
        <x:v>46137</x:v>
      </x:c>
      <x:c r="N13" s="14" t="n">
        <x:v>46217</x:v>
      </x:c>
      <x:c r="O13" s="14" t="n">
        <x:v>46237</x:v>
      </x:c>
      <x:c r="P13" s="11" t="str"/>
      <x:c r="Q13" s="11" t="str">
        <x:v>2026-07</x:v>
      </x:c>
    </x:row>
    <x:row r="14">
      <x:c r="A14" s="11" t="str">
        <x:v>SIE_FRA_005</x:v>
      </x:c>
      <x:c r="B14" s="11" t="str">
        <x:v>Frailes</x:v>
      </x:c>
      <x:c r="C14" s="11" t="str">
        <x:v>FIN_FRAILES</x:v>
      </x:c>
      <x:c r="D14" s="11" t="str">
        <x:v>Cama Frailes 1</x:v>
      </x:c>
      <x:c r="E14" s="11" t="str">
        <x:v>UNI_FRA_CAMA_01</x:v>
      </x:c>
      <x:c r="F14" s="11" t="str">
        <x:v>Activa</x:v>
      </x:c>
      <x:c r="G14" s="11" t="str">
        <x:v>Ayote</x:v>
      </x:c>
      <x:c r="H14" s="11" t="str">
        <x:v>CUL_AYOTE</x:v>
      </x:c>
      <x:c r="I14" s="11" t="n">
        <x:v>1</x:v>
      </x:c>
      <x:c r="J14" s="11" t="str">
        <x:v>Crecimiento</x:v>
      </x:c>
      <x:c r="K14" s="14"/>
      <x:c r="L14" s="14" t="n">
        <x:v>46137</x:v>
      </x:c>
      <x:c r="M14" s="14" t="n">
        <x:v>46137</x:v>
      </x:c>
      <x:c r="N14" s="14" t="n">
        <x:v>46227</x:v>
      </x:c>
      <x:c r="O14" s="14" t="n">
        <x:v>46257</x:v>
      </x:c>
      <x:c r="P14" s="11" t="str"/>
      <x:c r="Q14" s="11" t="str">
        <x:v>2026-07</x:v>
      </x:c>
    </x:row>
    <x:row r="15">
      <x:c r="A15" s="11" t="str">
        <x:v>SIE_FRA_006</x:v>
      </x:c>
      <x:c r="B15" s="11" t="str">
        <x:v>Frailes</x:v>
      </x:c>
      <x:c r="C15" s="11" t="str">
        <x:v>FIN_FRAILES</x:v>
      </x:c>
      <x:c r="D15" s="11" t="str">
        <x:v>Cama Frailes 1</x:v>
      </x:c>
      <x:c r="E15" s="11" t="str">
        <x:v>UNI_FRA_CAMA_01</x:v>
      </x:c>
      <x:c r="F15" s="11" t="str">
        <x:v>Activa</x:v>
      </x:c>
      <x:c r="G15" s="11" t="str">
        <x:v>Albahaca</x:v>
      </x:c>
      <x:c r="H15" s="11" t="str">
        <x:v>CUL_ALBAHACA</x:v>
      </x:c>
      <x:c r="I15" s="11" t="n">
        <x:v>1</x:v>
      </x:c>
      <x:c r="J15" s="11" t="str">
        <x:v>Crecimiento</x:v>
      </x:c>
      <x:c r="K15" s="14"/>
      <x:c r="L15" s="14" t="n">
        <x:v>46137</x:v>
      </x:c>
      <x:c r="M15" s="14" t="n">
        <x:v>46137</x:v>
      </x:c>
      <x:c r="N15" s="14" t="n">
        <x:v>46172</x:v>
      </x:c>
      <x:c r="O15" s="14" t="n">
        <x:v>46187</x:v>
      </x:c>
      <x:c r="P15" s="11" t="str"/>
      <x:c r="Q15" s="11" t="str">
        <x:v>2026-05</x:v>
      </x:c>
    </x:row>
    <x:row r="16">
      <x:c r="A16" s="11" t="str">
        <x:v>SIE_FRA_007</x:v>
      </x:c>
      <x:c r="B16" s="11" t="str">
        <x:v>Frailes</x:v>
      </x:c>
      <x:c r="C16" s="11" t="str">
        <x:v>FIN_FRAILES</x:v>
      </x:c>
      <x:c r="D16" s="11" t="str">
        <x:v>Cama Frailes 2</x:v>
      </x:c>
      <x:c r="E16" s="11" t="str">
        <x:v>UNI_FRA_CAMA_02</x:v>
      </x:c>
      <x:c r="F16" s="11" t="str">
        <x:v>Activa</x:v>
      </x:c>
      <x:c r="G16" s="11" t="str">
        <x:v>Tomate cherry</x:v>
      </x:c>
      <x:c r="H16" s="11" t="str">
        <x:v>CUL_TOMATE_CHERRY</x:v>
      </x:c>
      <x:c r="I16" s="11" t="n">
        <x:v>6</x:v>
      </x:c>
      <x:c r="J16" s="11" t="str">
        <x:v>Crecimiento</x:v>
      </x:c>
      <x:c r="K16" s="14" t="n">
        <x:v>46137</x:v>
      </x:c>
      <x:c r="L16" s="14"/>
      <x:c r="M16" s="14" t="n">
        <x:v>46137</x:v>
      </x:c>
      <x:c r="N16" s="14" t="n">
        <x:v>46212</x:v>
      </x:c>
      <x:c r="O16" s="14" t="n">
        <x:v>46237</x:v>
      </x:c>
      <x:c r="P16" s="11" t="str"/>
      <x:c r="Q16" s="11" t="str">
        <x:v>2026-07</x:v>
      </x:c>
    </x:row>
    <x:row r="17">
      <x:c r="A17" s="11" t="str">
        <x:v>SIE_FRA_008</x:v>
      </x:c>
      <x:c r="B17" s="11" t="str">
        <x:v>Frailes</x:v>
      </x:c>
      <x:c r="C17" s="11" t="str">
        <x:v>FIN_FRAILES</x:v>
      </x:c>
      <x:c r="D17" s="11" t="str">
        <x:v>Cama Frailes 2</x:v>
      </x:c>
      <x:c r="E17" s="11" t="str">
        <x:v>UNI_FRA_CAMA_02</x:v>
      </x:c>
      <x:c r="F17" s="11" t="str">
        <x:v>Activa</x:v>
      </x:c>
      <x:c r="G17" s="11" t="str">
        <x:v>Culantro</x:v>
      </x:c>
      <x:c r="H17" s="11" t="str">
        <x:v>CUL_CULANTRO</x:v>
      </x:c>
      <x:c r="I17" s="11" t="n">
        <x:v>20</x:v>
      </x:c>
      <x:c r="J17" s="11" t="str">
        <x:v>Crecimiento</x:v>
      </x:c>
      <x:c r="K17" s="14" t="n">
        <x:v>46172</x:v>
      </x:c>
      <x:c r="L17" s="14"/>
      <x:c r="M17" s="14" t="n">
        <x:v>46172</x:v>
      </x:c>
      <x:c r="N17" s="14" t="n">
        <x:v>46212</x:v>
      </x:c>
      <x:c r="O17" s="14" t="n">
        <x:v>46232</x:v>
      </x:c>
      <x:c r="P17" s="11" t="str"/>
      <x:c r="Q17" s="11" t="str">
        <x:v>2026-07</x:v>
      </x:c>
    </x:row>
    <x:row r="18">
      <x:c r="A18" s="11" t="str">
        <x:v>SIE_FRA_009</x:v>
      </x:c>
      <x:c r="B18" s="11" t="str">
        <x:v>Frailes</x:v>
      </x:c>
      <x:c r="C18" s="11" t="str">
        <x:v>FIN_FRAILES</x:v>
      </x:c>
      <x:c r="D18" s="11" t="str">
        <x:v>Cama Frailes 2</x:v>
      </x:c>
      <x:c r="E18" s="11" t="str">
        <x:v>UNI_FRA_CAMA_02</x:v>
      </x:c>
      <x:c r="F18" s="11" t="str">
        <x:v>Activa</x:v>
      </x:c>
      <x:c r="G18" s="11" t="str">
        <x:v>Cebolla blanca</x:v>
      </x:c>
      <x:c r="H18" s="11" t="str">
        <x:v>CUL_CEBOLLA_BLANCA</x:v>
      </x:c>
      <x:c r="I18" s="11" t="n">
        <x:v>50</x:v>
      </x:c>
      <x:c r="J18" s="11" t="str">
        <x:v>Crecimiento</x:v>
      </x:c>
      <x:c r="K18" s="14" t="n">
        <x:v>46137</x:v>
      </x:c>
      <x:c r="L18" s="14" t="n">
        <x:v>46137</x:v>
      </x:c>
      <x:c r="M18" s="14" t="n">
        <x:v>46137</x:v>
      </x:c>
      <x:c r="N18" s="14" t="n">
        <x:v>46227</x:v>
      </x:c>
      <x:c r="O18" s="14" t="n">
        <x:v>46257</x:v>
      </x:c>
      <x:c r="P18" s="11" t="str"/>
      <x:c r="Q18" s="11" t="str">
        <x:v>2026-07</x:v>
      </x:c>
    </x:row>
    <x:row r="19">
      <x:c r="A19" s="11" t="str">
        <x:v>SIE_FRA_010</x:v>
      </x:c>
      <x:c r="B19" s="11" t="str">
        <x:v>Frailes</x:v>
      </x:c>
      <x:c r="C19" s="11" t="str">
        <x:v>FIN_FRAILES</x:v>
      </x:c>
      <x:c r="D19" s="11" t="str">
        <x:v>Cama Frailes 3</x:v>
      </x:c>
      <x:c r="E19" s="11" t="str">
        <x:v>UNI_FRA_CAMA_03</x:v>
      </x:c>
      <x:c r="F19" s="11" t="str">
        <x:v>Activa</x:v>
      </x:c>
      <x:c r="G19" s="11" t="str">
        <x:v>Tomate cherry</x:v>
      </x:c>
      <x:c r="H19" s="11" t="str">
        <x:v>CUL_TOMATE_CHERRY</x:v>
      </x:c>
      <x:c r="I19" s="11" t="n">
        <x:v>6</x:v>
      </x:c>
      <x:c r="J19" s="11" t="str">
        <x:v>Crecimiento</x:v>
      </x:c>
      <x:c r="K19" s="14" t="n">
        <x:v>46137</x:v>
      </x:c>
      <x:c r="L19" s="14"/>
      <x:c r="M19" s="14" t="n">
        <x:v>46137</x:v>
      </x:c>
      <x:c r="N19" s="14" t="n">
        <x:v>46212</x:v>
      </x:c>
      <x:c r="O19" s="14" t="n">
        <x:v>46237</x:v>
      </x:c>
      <x:c r="P19" s="11" t="str"/>
      <x:c r="Q19" s="11" t="str">
        <x:v>2026-07</x:v>
      </x:c>
    </x:row>
    <x:row r="20">
      <x:c r="A20" s="11" t="str">
        <x:v>SIE_FRA_011</x:v>
      </x:c>
      <x:c r="B20" s="11" t="str">
        <x:v>Frailes</x:v>
      </x:c>
      <x:c r="C20" s="11" t="str">
        <x:v>FIN_FRAILES</x:v>
      </x:c>
      <x:c r="D20" s="11" t="str">
        <x:v>Cama Frailes 3</x:v>
      </x:c>
      <x:c r="E20" s="11" t="str">
        <x:v>UNI_FRA_CAMA_03</x:v>
      </x:c>
      <x:c r="F20" s="11" t="str">
        <x:v>Activa</x:v>
      </x:c>
      <x:c r="G20" s="11" t="str">
        <x:v>Culantro</x:v>
      </x:c>
      <x:c r="H20" s="11" t="str">
        <x:v>CUL_CULANTRO</x:v>
      </x:c>
      <x:c r="I20" s="11" t="n">
        <x:v>40</x:v>
      </x:c>
      <x:c r="J20" s="11" t="str">
        <x:v>Crecimiento</x:v>
      </x:c>
      <x:c r="K20" s="14" t="n">
        <x:v>46137</x:v>
      </x:c>
      <x:c r="L20" s="14"/>
      <x:c r="M20" s="14" t="n">
        <x:v>46137</x:v>
      </x:c>
      <x:c r="N20" s="14" t="n">
        <x:v>46177</x:v>
      </x:c>
      <x:c r="O20" s="14" t="n">
        <x:v>46197</x:v>
      </x:c>
      <x:c r="P20" s="11" t="str"/>
      <x:c r="Q20" s="11" t="str">
        <x:v>2026-06</x:v>
      </x:c>
    </x:row>
    <x:row r="21">
      <x:c r="A21" s="11" t="str">
        <x:v>SIE_FRA_012</x:v>
      </x:c>
      <x:c r="B21" s="11" t="str">
        <x:v>Frailes</x:v>
      </x:c>
      <x:c r="C21" s="11" t="str">
        <x:v>FIN_FRAILES</x:v>
      </x:c>
      <x:c r="D21" s="11" t="str">
        <x:v>Cama Frailes 3</x:v>
      </x:c>
      <x:c r="E21" s="11" t="str">
        <x:v>UNI_FRA_CAMA_03</x:v>
      </x:c>
      <x:c r="F21" s="11" t="str">
        <x:v>Activa</x:v>
      </x:c>
      <x:c r="G21" s="11" t="str">
        <x:v>Chile dulce</x:v>
      </x:c>
      <x:c r="H21" s="11" t="str">
        <x:v>CUL_CHILE_DULCE</x:v>
      </x:c>
      <x:c r="I21" s="11" t="n">
        <x:v>6</x:v>
      </x:c>
      <x:c r="J21" s="11" t="str">
        <x:v>Crecimiento</x:v>
      </x:c>
      <x:c r="K21" s="14" t="n">
        <x:v>46137</x:v>
      </x:c>
      <x:c r="L21" s="14"/>
      <x:c r="M21" s="14" t="n">
        <x:v>46137</x:v>
      </x:c>
      <x:c r="N21" s="14" t="n">
        <x:v>46212</x:v>
      </x:c>
      <x:c r="O21" s="14" t="n">
        <x:v>46237</x:v>
      </x:c>
      <x:c r="P21" s="11" t="str"/>
      <x:c r="Q21" s="11" t="str">
        <x:v>2026-07</x:v>
      </x:c>
    </x:row>
    <x:row r="22">
      <x:c r="A22" s="11" t="str">
        <x:v>SIE_FRA_013</x:v>
      </x:c>
      <x:c r="B22" s="11" t="str">
        <x:v>Frailes</x:v>
      </x:c>
      <x:c r="C22" s="11" t="str">
        <x:v>FIN_FRAILES</x:v>
      </x:c>
      <x:c r="D22" s="11" t="str">
        <x:v>Cama Frailes 5</x:v>
      </x:c>
      <x:c r="E22" s="11" t="str">
        <x:v>UNI_FRA_CAMA_05</x:v>
      </x:c>
      <x:c r="F22" s="11" t="str">
        <x:v>Activa</x:v>
      </x:c>
      <x:c r="G22" s="11" t="str">
        <x:v>Cebolla morada</x:v>
      </x:c>
      <x:c r="H22" s="11" t="str">
        <x:v>CUL_CEBOLLA_MORADA</x:v>
      </x:c>
      <x:c r="I22" s="11" t="n">
        <x:v>50</x:v>
      </x:c>
      <x:c r="J22" s="11" t="str">
        <x:v>Crecimiento</x:v>
      </x:c>
      <x:c r="K22" s="14" t="n">
        <x:v>46172</x:v>
      </x:c>
      <x:c r="L22" s="14" t="n">
        <x:v>46172</x:v>
      </x:c>
      <x:c r="M22" s="14" t="n">
        <x:v>46172</x:v>
      </x:c>
      <x:c r="N22" s="14" t="n">
        <x:v>46262</x:v>
      </x:c>
      <x:c r="O22" s="14" t="n">
        <x:v>46292</x:v>
      </x:c>
      <x:c r="P22" s="11" t="str"/>
      <x:c r="Q22" s="11" t="str">
        <x:v>2026-08</x:v>
      </x:c>
    </x:row>
    <x:row r="23">
      <x:c r="A23" s="11" t="str">
        <x:v>SIE_FRA_014</x:v>
      </x:c>
      <x:c r="B23" s="11" t="str">
        <x:v>Frailes</x:v>
      </x:c>
      <x:c r="C23" s="11" t="str">
        <x:v>FIN_FRAILES</x:v>
      </x:c>
      <x:c r="D23" s="11" t="str">
        <x:v>Cama Frailes 5</x:v>
      </x:c>
      <x:c r="E23" s="11" t="str">
        <x:v>UNI_FRA_CAMA_05</x:v>
      </x:c>
      <x:c r="F23" s="11" t="str">
        <x:v>Activa</x:v>
      </x:c>
      <x:c r="G23" s="11" t="str">
        <x:v>Arúgula</x:v>
      </x:c>
      <x:c r="H23" s="11" t="str">
        <x:v>CUL_ARUGULA</x:v>
      </x:c>
      <x:c r="I23" s="11" t="n">
        <x:v>6</x:v>
      </x:c>
      <x:c r="J23" s="11" t="str">
        <x:v>Crecimiento</x:v>
      </x:c>
      <x:c r="K23" s="14" t="n">
        <x:v>46172</x:v>
      </x:c>
      <x:c r="L23" s="14"/>
      <x:c r="M23" s="14" t="n">
        <x:v>46172</x:v>
      </x:c>
      <x:c r="N23" s="14" t="n">
        <x:v>46197</x:v>
      </x:c>
      <x:c r="O23" s="14" t="n">
        <x:v>46212</x:v>
      </x:c>
      <x:c r="P23" s="11" t="str"/>
      <x:c r="Q23" s="11" t="str">
        <x:v>2026-06</x:v>
      </x:c>
    </x:row>
    <x:row r="24">
      <x:c r="A24" s="11" t="str">
        <x:v>SIE_FRA_015</x:v>
      </x:c>
      <x:c r="B24" s="11" t="str">
        <x:v>Frailes</x:v>
      </x:c>
      <x:c r="C24" s="11" t="str">
        <x:v>FIN_FRAILES</x:v>
      </x:c>
      <x:c r="D24" s="11" t="str">
        <x:v>Cama Frailes 5</x:v>
      </x:c>
      <x:c r="E24" s="11" t="str">
        <x:v>UNI_FRA_CAMA_05</x:v>
      </x:c>
      <x:c r="F24" s="11" t="str">
        <x:v>Activa</x:v>
      </x:c>
      <x:c r="G24" s="11" t="str">
        <x:v>Disponible</x:v>
      </x:c>
      <x:c r="H24" s="11" t="str">
        <x:v>CUL_DISPONIBLE</x:v>
      </x:c>
      <x:c r="I24" s="11" t="n">
        <x:v>1</x:v>
      </x:c>
      <x:c r="J24" s="11" t="str">
        <x:v>Disponible</x:v>
      </x:c>
      <x:c r="K24" s="14"/>
      <x:c r="L24" s="14"/>
      <x:c r="M24" s="14"/>
      <x:c r="N24" s="14"/>
      <x:c r="O24" s="14"/>
      <x:c r="P24" s="11" t="str"/>
      <x:c r="Q24" s="11" t="str">
        <x:v>Sin fecha</x:v>
      </x:c>
    </x:row>
    <x:row r="25">
      <x:c r="A25" s="11" t="str">
        <x:v>SIE_FRA_016</x:v>
      </x:c>
      <x:c r="B25" s="11" t="str">
        <x:v>Frailes</x:v>
      </x:c>
      <x:c r="C25" s="11" t="str">
        <x:v>FIN_FRAILES</x:v>
      </x:c>
      <x:c r="D25" s="11" t="str">
        <x:v>Cama Frailes 6</x:v>
      </x:c>
      <x:c r="E25" s="11" t="str">
        <x:v>UNI_FRA_CAMA_06</x:v>
      </x:c>
      <x:c r="F25" s="11" t="str">
        <x:v>Activa</x:v>
      </x:c>
      <x:c r="G25" s="11" t="str">
        <x:v>Zucchini</x:v>
      </x:c>
      <x:c r="H25" s="11" t="str">
        <x:v>CUL_ZUCCHINI</x:v>
      </x:c>
      <x:c r="I25" s="11" t="n">
        <x:v>8</x:v>
      </x:c>
      <x:c r="J25" s="11" t="str">
        <x:v>Crecimiento</x:v>
      </x:c>
      <x:c r="K25" s="14" t="n">
        <x:v>46137</x:v>
      </x:c>
      <x:c r="L25" s="14"/>
      <x:c r="M25" s="14" t="n">
        <x:v>46137</x:v>
      </x:c>
      <x:c r="N25" s="14" t="n">
        <x:v>46182</x:v>
      </x:c>
      <x:c r="O25" s="14" t="n">
        <x:v>46202</x:v>
      </x:c>
      <x:c r="P25" s="11" t="str"/>
      <x:c r="Q25" s="11" t="str">
        <x:v>2026-06</x:v>
      </x:c>
    </x:row>
    <x:row r="26">
      <x:c r="A26" s="11" t="str">
        <x:v>SIE_FRA_017</x:v>
      </x:c>
      <x:c r="B26" s="11" t="str">
        <x:v>Frailes</x:v>
      </x:c>
      <x:c r="C26" s="11" t="str">
        <x:v>FIN_FRAILES</x:v>
      </x:c>
      <x:c r="D26" s="11" t="str">
        <x:v>Cama Frailes 7</x:v>
      </x:c>
      <x:c r="E26" s="11" t="str">
        <x:v>UNI_FRA_CAMA_07</x:v>
      </x:c>
      <x:c r="F26" s="11" t="str">
        <x:v>Activa</x:v>
      </x:c>
      <x:c r="G26" s="11" t="str">
        <x:v>Zanahoria</x:v>
      </x:c>
      <x:c r="H26" s="11" t="str">
        <x:v>CUL_ZANAHORIA</x:v>
      </x:c>
      <x:c r="I26" s="11" t="n">
        <x:v>35</x:v>
      </x:c>
      <x:c r="J26" s="11" t="str">
        <x:v>Crecimiento</x:v>
      </x:c>
      <x:c r="K26" s="14" t="n">
        <x:v>46152</x:v>
      </x:c>
      <x:c r="L26" s="14"/>
      <x:c r="M26" s="14" t="n">
        <x:v>46152</x:v>
      </x:c>
      <x:c r="N26" s="14" t="n">
        <x:v>46232</x:v>
      </x:c>
      <x:c r="O26" s="14" t="n">
        <x:v>46262</x:v>
      </x:c>
      <x:c r="P26" s="11" t="str"/>
      <x:c r="Q26" s="11" t="str">
        <x:v>2026-07</x:v>
      </x:c>
    </x:row>
  </x:sheetData>
  <x:pageMargins left="0.7" right="0.7" top="0.75" bottom="0.75" header="0.3" footer="0.3"/>
  <x:tableParts count="1">
    <x:tablePart xmlns:r="http://schemas.openxmlformats.org/officeDocument/2006/relationships" r:id="R67bfee80707b40a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</x:cols>
  <x:sheetData>
    <x:row r="1">
      <x:c r="A1" s="10" t="str">
        <x:v>Lista</x:v>
      </x:c>
      <x:c r="B1" s="10" t="str">
        <x:v>Valor</x:v>
      </x:c>
    </x:row>
    <x:row r="2">
      <x:c r="A2" s="11" t="str">
        <x:v>Estados_Unidad</x:v>
      </x:c>
      <x:c r="B2" s="11" t="str">
        <x:v>Activa</x:v>
      </x:c>
    </x:row>
    <x:row r="3">
      <x:c r="A3" s="11" t="str">
        <x:v>Estados_Unidad</x:v>
      </x:c>
      <x:c r="B3" s="11" t="str">
        <x:v>No activa</x:v>
      </x:c>
    </x:row>
    <x:row r="4">
      <x:c r="A4" s="11" t="str">
        <x:v>Estados_Cultivo</x:v>
      </x:c>
      <x:c r="B4" s="11" t="str">
        <x:v>Crecimiento</x:v>
      </x:c>
    </x:row>
    <x:row r="5">
      <x:c r="A5" s="11" t="str">
        <x:v>Estados_Cultivo</x:v>
      </x:c>
      <x:c r="B5" s="11" t="str">
        <x:v>Floración</x:v>
      </x:c>
    </x:row>
    <x:row r="6">
      <x:c r="A6" s="11" t="str">
        <x:v>Estados_Cultivo</x:v>
      </x:c>
      <x:c r="B6" s="11" t="str">
        <x:v>Disponible</x:v>
      </x:c>
    </x:row>
    <x:row r="7">
      <x:c r="A7" s="11" t="str">
        <x:v>Estados_Cultivo</x:v>
      </x:c>
      <x:c r="B7" s="11" t="str">
        <x:v>Cosechado</x:v>
      </x:c>
    </x:row>
    <x:row r="8">
      <x:c r="A8" s="11" t="str">
        <x:v>Estados_Cultivo</x:v>
      </x:c>
      <x:c r="B8" s="11" t="str">
        <x:v>Sin fecha</x:v>
      </x:c>
    </x:row>
  </x:sheetData>
  <x:pageMargins left="0.7" right="0.7" top="0.75" bottom="0.75" header="0.3" footer="0.3"/>
  <x:tableParts count="1">
    <x:tablePart xmlns:r="http://schemas.openxmlformats.org/officeDocument/2006/relationships" r:id="R4a57a00970ed48a4"/>
  </x:tableParts>
</x:worksheet>
</file>