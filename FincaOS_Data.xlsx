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_MVP" sheetId="1" state="visible" r:id="rId1"/>
    <sheet xmlns:r="http://schemas.openxmlformats.org/officeDocument/2006/relationships" name="Fincas" sheetId="2" state="visible" r:id="rId2"/>
    <sheet xmlns:r="http://schemas.openxmlformats.org/officeDocument/2006/relationships" name="Unidades" sheetId="3" state="visible" r:id="rId3"/>
    <sheet xmlns:r="http://schemas.openxmlformats.org/officeDocument/2006/relationships" name="CatalogoCultivos" sheetId="4" state="visible" r:id="rId4"/>
    <sheet xmlns:r="http://schemas.openxmlformats.org/officeDocument/2006/relationships" name="CultivosSembrados" sheetId="5" state="visible" r:id="rId5"/>
    <sheet xmlns:r="http://schemas.openxmlformats.org/officeDocument/2006/relationships" name="VistaCultivos" sheetId="6" state="visible" r:id="rId6"/>
    <sheet xmlns:r="http://schemas.openxmlformats.org/officeDocument/2006/relationships" name="Listas" sheetId="7" state="visible" r:id="rId7"/>
    <sheet xmlns:r="http://schemas.openxmlformats.org/officeDocument/2006/relationships" name="Insumos" sheetId="8" state="visible" r:id="rId8"/>
    <sheet xmlns:r="http://schemas.openxmlformats.org/officeDocument/2006/relationships" name="Arboles" sheetId="9" state="visible" r:id="rId9"/>
    <sheet xmlns:r="http://schemas.openxmlformats.org/officeDocument/2006/relationships" name="EventosAgricolas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00FFFFFF"/>
      <sz val="11"/>
    </font>
    <font>
      <name val="Carlito"/>
      <b val="1"/>
      <color rgb="0014532D"/>
      <sz val="18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0F3D25"/>
      </patternFill>
    </fill>
    <fill>
      <patternFill patternType="solid">
        <fgColor rgb="000F766E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0" borderId="0" pivotButton="0" quotePrefix="0" xfId="0"/>
    <xf numFmtId="0" fontId="2" fillId="0" borderId="1" pivotButton="0" quotePrefix="0" xfId="0"/>
    <xf numFmtId="164" fontId="0" fillId="0" borderId="0" pivotButton="0" quotePrefix="0" xfId="0"/>
    <xf numFmtId="0" fontId="0" fillId="0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FincasTable" displayName="FincasTable" ref="A1:D3" headerRowCount="1">
  <tableColumns count="4">
    <tableColumn id="1" name="Finca_ID"/>
    <tableColumn id="2" name="Finca_Nombre"/>
    <tableColumn id="3" name="Ubicacion"/>
    <tableColumn id="4" name="Notas"/>
  </tableColumns>
  <tableStyleInfo name="TableStyleMedium2" showRowStripes="1"/>
</table>
</file>

<file path=xl/tables/table2.xml><?xml version="1.0" encoding="utf-8"?>
<table xmlns="http://schemas.openxmlformats.org/spreadsheetml/2006/main" id="2" name="UnidadesTable" displayName="UnidadesTable" ref="A1:F9" headerRowCount="1">
  <tableColumns count="6">
    <tableColumn id="1" name="Unidad_ID"/>
    <tableColumn id="2" name="Finca_ID"/>
    <tableColumn id="3" name="Unidad_Nombre"/>
    <tableColumn id="4" name="Tipo_Unidad"/>
    <tableColumn id="5" name="Estado"/>
    <tableColumn id="6" name="Notas"/>
  </tableColumns>
  <tableStyleInfo name="TableStyleMedium2" showRowStripes="1"/>
</table>
</file>

<file path=xl/tables/table3.xml><?xml version="1.0" encoding="utf-8"?>
<table xmlns="http://schemas.openxmlformats.org/spreadsheetml/2006/main" id="3" name="CatalogoCultivosTable" displayName="CatalogoCultivosTable" ref="A1:G21" headerRowCount="1">
  <tableColumns count="7">
    <tableColumn id="1" name="Cultivo_ID"/>
    <tableColumn id="2" name="Cultivo_Nombre"/>
    <tableColumn id="3" name="Tipo_Cosecha"/>
    <tableColumn id="4" name="Dias_Cosecha_Min"/>
    <tableColumn id="5" name="Dias_Cosecha_Max"/>
    <tableColumn id="6" name="Activo"/>
    <tableColumn id="7" name="Notas"/>
  </tableColumns>
  <tableStyleInfo name="TableStyleMedium2" showRowStripes="1"/>
</table>
</file>

<file path=xl/tables/table4.xml><?xml version="1.0" encoding="utf-8"?>
<table xmlns="http://schemas.openxmlformats.org/spreadsheetml/2006/main" id="4" name="CultivosSembradosTable" displayName="CultivosSembradosTable" ref="A1:M26" headerRowCount="1">
  <tableColumns count="13">
    <tableColumn id="1" name="Siembra_ID"/>
    <tableColumn id="2" name="Finca_ID"/>
    <tableColumn id="3" name="Unidad_ID"/>
    <tableColumn id="4" name="Cultivo_ID"/>
    <tableColumn id="5" name="Fecha_Siembra"/>
    <tableColumn id="6" name="Fecha_Trasplante"/>
    <tableColumn id="7" name="Cantidad"/>
    <tableColumn id="8" name="Estado_Actual"/>
    <tableColumn id="9" name="Fecha_Base"/>
    <tableColumn id="10" name="Cosecha_Min"/>
    <tableColumn id="11" name="Cosecha_Max"/>
    <tableColumn id="12" name="Estado_Ficha"/>
    <tableColumn id="13" name="Notas"/>
  </tableColumns>
  <tableStyleInfo name="TableStyleMedium2" showRowStripes="1"/>
</table>
</file>

<file path=xl/tables/table5.xml><?xml version="1.0" encoding="utf-8"?>
<table xmlns="http://schemas.openxmlformats.org/spreadsheetml/2006/main" id="5" name="VistaCultivosTable" displayName="VistaCultivosTable" ref="A1:Q26" headerRowCount="1">
  <tableColumns count="17">
    <tableColumn id="1" name="Siembra_ID"/>
    <tableColumn id="2" name="Finca"/>
    <tableColumn id="3" name="Finca_ID"/>
    <tableColumn id="4" name="Unidad"/>
    <tableColumn id="5" name="Unidad_ID"/>
    <tableColumn id="6" name="Estado_Unidad"/>
    <tableColumn id="7" name="Cultivo"/>
    <tableColumn id="8" name="Cultivo_ID"/>
    <tableColumn id="9" name="Cantidad"/>
    <tableColumn id="10" name="Estado_Actual"/>
    <tableColumn id="11" name="Fecha_Siembra"/>
    <tableColumn id="12" name="Fecha_Trasplante"/>
    <tableColumn id="13" name="Fecha_Base"/>
    <tableColumn id="14" name="Cosecha_Min"/>
    <tableColumn id="15" name="Cosecha_Max"/>
    <tableColumn id="16" name="Alerta_Datos"/>
    <tableColumn id="17" name="Mes_Cosecha"/>
  </tableColumns>
  <tableStyleInfo name="TableStyleMedium2" showRowStripes="1"/>
</table>
</file>

<file path=xl/tables/table6.xml><?xml version="1.0" encoding="utf-8"?>
<table xmlns="http://schemas.openxmlformats.org/spreadsheetml/2006/main" id="6" name="ListasTable" displayName="ListasTable" ref="A1:B8" headerRowCount="1">
  <tableColumns count="2">
    <tableColumn id="1" name="Lista"/>
    <tableColumn id="2" name="Valor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18" customWidth="1" style="19" min="2" max="2"/>
  </cols>
  <sheetData>
    <row r="1">
      <c r="A1" s="25" t="inlineStr">
        <is>
          <t>FincaOS Developer Version 20.1</t>
        </is>
      </c>
      <c r="B1" s="25" t="n"/>
    </row>
    <row r="2">
      <c r="A2" t="inlineStr">
        <is>
          <t>Base actualizada desde Word + Excel de referencia</t>
        </is>
      </c>
    </row>
    <row r="3">
      <c r="A3" s="5" t="inlineStr">
        <is>
          <t>Métrica</t>
        </is>
      </c>
      <c r="B3" s="5" t="inlineStr">
        <is>
          <t>Valor</t>
        </is>
      </c>
    </row>
    <row r="4">
      <c r="A4" t="inlineStr">
        <is>
          <t>Cultivos activos</t>
        </is>
      </c>
      <c r="B4">
        <f>COUNTIFS(VistaCultivos!H:H,"&lt;&gt;CUL_DISPONIBLE",VistaCultivos!F:F,"Activa")</f>
        <v/>
      </c>
    </row>
    <row r="5">
      <c r="A5" t="inlineStr">
        <is>
          <t>Camas activas</t>
        </is>
      </c>
      <c r="B5">
        <f>COUNTIF(Unidades!E:E,"Activa")</f>
        <v/>
      </c>
    </row>
    <row r="6">
      <c r="A6" t="inlineStr">
        <is>
          <t>Espacios disponibles</t>
        </is>
      </c>
      <c r="B6">
        <f>COUNTIF(VistaCultivos!H:H,"CUL_DISPONIBLE")</f>
        <v/>
      </c>
    </row>
    <row r="7">
      <c r="A7" t="inlineStr">
        <is>
          <t>Errores falta información</t>
        </is>
      </c>
      <c r="B7">
        <f>COUNTIF(VistaCultivos!P:P,"Falta fecha")</f>
        <v/>
      </c>
    </row>
    <row r="8">
      <c r="A8" t="inlineStr">
        <is>
          <t>Próxima cosecha</t>
        </is>
      </c>
      <c r="B8" s="26">
        <f>MIN(VistaCultivos!N:N)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9" min="1" max="1"/>
    <col width="14" customWidth="1" style="19" min="2" max="2"/>
    <col width="11" customWidth="1" style="19" min="3" max="3"/>
    <col width="10" customWidth="1" style="19" min="4" max="4"/>
  </cols>
  <sheetData>
    <row r="1">
      <c r="A1" s="25" t="inlineStr">
        <is>
          <t>Finca_ID</t>
        </is>
      </c>
      <c r="B1" s="25" t="inlineStr">
        <is>
          <t>Finca_Nombre</t>
        </is>
      </c>
      <c r="C1" s="25" t="inlineStr">
        <is>
          <t>Ubicacion</t>
        </is>
      </c>
      <c r="D1" s="25" t="inlineStr">
        <is>
          <t>Notas</t>
        </is>
      </c>
    </row>
    <row r="2">
      <c r="A2" s="11" t="inlineStr">
        <is>
          <t>FIN_MORAVIA</t>
        </is>
      </c>
      <c r="B2" s="11" t="inlineStr">
        <is>
          <t>Moravia</t>
        </is>
      </c>
      <c r="C2" s="11" t="inlineStr">
        <is>
          <t>San Vicente, Moravia</t>
        </is>
      </c>
      <c r="D2" s="11" t="inlineStr">
        <is>
          <t>Cama de hortalizas y aromáticas</t>
        </is>
      </c>
    </row>
    <row r="3">
      <c r="A3" s="11" t="inlineStr">
        <is>
          <t>FIN_FRAILES</t>
        </is>
      </c>
      <c r="B3" s="11" t="inlineStr">
        <is>
          <t>Frailes</t>
        </is>
      </c>
      <c r="C3" s="11" t="inlineStr">
        <is>
          <t>Frailes, Los Santos</t>
        </is>
      </c>
      <c r="D3" s="11" t="inlineStr">
        <is>
          <t>Camas de rotación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19" min="1" max="1"/>
    <col width="10" customWidth="1" style="19" min="2" max="2"/>
    <col width="15" customWidth="1" style="19" min="3" max="3"/>
    <col width="13" customWidth="1" style="19" min="4" max="4"/>
    <col width="10" customWidth="1" style="19" min="5" max="5"/>
    <col width="10" customWidth="1" style="19" min="6" max="6"/>
  </cols>
  <sheetData>
    <row r="1">
      <c r="A1" s="25" t="inlineStr">
        <is>
          <t>Unidad_ID</t>
        </is>
      </c>
      <c r="B1" s="25" t="inlineStr">
        <is>
          <t>Finca_ID</t>
        </is>
      </c>
      <c r="C1" s="25" t="inlineStr">
        <is>
          <t>Unidad_Nombre</t>
        </is>
      </c>
      <c r="D1" s="25" t="inlineStr">
        <is>
          <t>Tipo_Unidad</t>
        </is>
      </c>
      <c r="E1" s="25" t="inlineStr">
        <is>
          <t>Estado</t>
        </is>
      </c>
      <c r="F1" s="25" t="inlineStr">
        <is>
          <t>Notas</t>
        </is>
      </c>
    </row>
    <row r="2">
      <c r="A2" s="11" t="inlineStr">
        <is>
          <t>UNI_MOR_CAMA_01</t>
        </is>
      </c>
      <c r="B2" s="11" t="inlineStr">
        <is>
          <t>FIN_MORAVIA</t>
        </is>
      </c>
      <c r="C2" s="11" t="inlineStr">
        <is>
          <t>Cama Moravia 1</t>
        </is>
      </c>
      <c r="D2" s="11" t="inlineStr">
        <is>
          <t>Cama</t>
        </is>
      </c>
      <c r="E2" s="11" t="inlineStr">
        <is>
          <t>Activa</t>
        </is>
      </c>
      <c r="F2" s="11" t="inlineStr">
        <is>
          <t>Incluye espacios disponibles</t>
        </is>
      </c>
    </row>
    <row r="3">
      <c r="A3" s="11" t="inlineStr">
        <is>
          <t>UNI_FRA_CAMA_01</t>
        </is>
      </c>
      <c r="B3" s="11" t="inlineStr">
        <is>
          <t>FIN_FRAILES</t>
        </is>
      </c>
      <c r="C3" s="11" t="inlineStr">
        <is>
          <t>Cama Frailes 1</t>
        </is>
      </c>
      <c r="D3" s="11" t="inlineStr">
        <is>
          <t>Cama</t>
        </is>
      </c>
      <c r="E3" s="11" t="inlineStr">
        <is>
          <t>Activa</t>
        </is>
      </c>
      <c r="F3" s="11" t="str"/>
    </row>
    <row r="4">
      <c r="A4" s="11" t="inlineStr">
        <is>
          <t>UNI_FRA_CAMA_02</t>
        </is>
      </c>
      <c r="B4" s="11" t="inlineStr">
        <is>
          <t>FIN_FRAILES</t>
        </is>
      </c>
      <c r="C4" s="11" t="inlineStr">
        <is>
          <t>Cama Frailes 2</t>
        </is>
      </c>
      <c r="D4" s="11" t="inlineStr">
        <is>
          <t>Cama</t>
        </is>
      </c>
      <c r="E4" s="11" t="inlineStr">
        <is>
          <t>Activa</t>
        </is>
      </c>
      <c r="F4" s="11" t="str"/>
    </row>
    <row r="5">
      <c r="A5" s="11" t="inlineStr">
        <is>
          <t>UNI_FRA_CAMA_03</t>
        </is>
      </c>
      <c r="B5" s="11" t="inlineStr">
        <is>
          <t>FIN_FRAILES</t>
        </is>
      </c>
      <c r="C5" s="11" t="inlineStr">
        <is>
          <t>Cama Frailes 3</t>
        </is>
      </c>
      <c r="D5" s="11" t="inlineStr">
        <is>
          <t>Cama</t>
        </is>
      </c>
      <c r="E5" s="11" t="inlineStr">
        <is>
          <t>Activa</t>
        </is>
      </c>
      <c r="F5" s="11" t="str"/>
    </row>
    <row r="6">
      <c r="A6" s="11" t="inlineStr">
        <is>
          <t>UNI_FRA_CAMA_04</t>
        </is>
      </c>
      <c r="B6" s="11" t="inlineStr">
        <is>
          <t>FIN_FRAILES</t>
        </is>
      </c>
      <c r="C6" s="11" t="inlineStr">
        <is>
          <t>Cama Frailes 4</t>
        </is>
      </c>
      <c r="D6" s="11" t="inlineStr">
        <is>
          <t>Cama</t>
        </is>
      </c>
      <c r="E6" s="11" t="inlineStr">
        <is>
          <t>Activa</t>
        </is>
      </c>
      <c r="F6" s="11" t="inlineStr">
        <is>
          <t>Espacio disponible</t>
        </is>
      </c>
    </row>
    <row r="7">
      <c r="A7" s="11" t="inlineStr">
        <is>
          <t>UNI_FRA_CAMA_05</t>
        </is>
      </c>
      <c r="B7" s="11" t="inlineStr">
        <is>
          <t>FIN_FRAILES</t>
        </is>
      </c>
      <c r="C7" s="11" t="inlineStr">
        <is>
          <t>Cama Frailes 5</t>
        </is>
      </c>
      <c r="D7" s="11" t="inlineStr">
        <is>
          <t>Cama</t>
        </is>
      </c>
      <c r="E7" s="11" t="inlineStr">
        <is>
          <t>Activa</t>
        </is>
      </c>
      <c r="F7" s="11" t="str"/>
    </row>
    <row r="8">
      <c r="A8" s="11" t="inlineStr">
        <is>
          <t>UNI_FRA_CAMA_06</t>
        </is>
      </c>
      <c r="B8" s="11" t="inlineStr">
        <is>
          <t>FIN_FRAILES</t>
        </is>
      </c>
      <c r="C8" s="11" t="inlineStr">
        <is>
          <t>Cama Frailes 6</t>
        </is>
      </c>
      <c r="D8" s="11" t="inlineStr">
        <is>
          <t>Cama</t>
        </is>
      </c>
      <c r="E8" s="11" t="inlineStr">
        <is>
          <t>Activa</t>
        </is>
      </c>
      <c r="F8" s="11" t="str"/>
    </row>
    <row r="9">
      <c r="A9" s="11" t="inlineStr">
        <is>
          <t>UNI_FRA_CAMA_07</t>
        </is>
      </c>
      <c r="B9" s="11" t="inlineStr">
        <is>
          <t>FIN_FRAILES</t>
        </is>
      </c>
      <c r="C9" s="11" t="inlineStr">
        <is>
          <t>Cama Frailes 7</t>
        </is>
      </c>
      <c r="D9" s="11" t="inlineStr">
        <is>
          <t>Cama</t>
        </is>
      </c>
      <c r="E9" s="11" t="inlineStr">
        <is>
          <t>Activa</t>
        </is>
      </c>
      <c r="F9" s="11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16" customWidth="1" style="19" min="2" max="2"/>
    <col width="14" customWidth="1" style="19" min="3" max="3"/>
    <col width="18" customWidth="1" style="19" min="4" max="4"/>
    <col width="18" customWidth="1" style="19" min="5" max="5"/>
    <col width="10" customWidth="1" style="19" min="6" max="6"/>
    <col width="10" customWidth="1" style="19" min="7" max="7"/>
  </cols>
  <sheetData>
    <row r="1">
      <c r="A1" s="25" t="inlineStr">
        <is>
          <t>Cultivo_ID</t>
        </is>
      </c>
      <c r="B1" s="25" t="inlineStr">
        <is>
          <t>Cultivo_Nombre</t>
        </is>
      </c>
      <c r="C1" s="25" t="inlineStr">
        <is>
          <t>Tipo_Cosecha</t>
        </is>
      </c>
      <c r="D1" s="25" t="inlineStr">
        <is>
          <t>Dias_Cosecha_Min</t>
        </is>
      </c>
      <c r="E1" s="25" t="inlineStr">
        <is>
          <t>Dias_Cosecha_Max</t>
        </is>
      </c>
      <c r="F1" s="25" t="inlineStr">
        <is>
          <t>Activo</t>
        </is>
      </c>
      <c r="G1" s="25" t="inlineStr">
        <is>
          <t>Notas</t>
        </is>
      </c>
    </row>
    <row r="2">
      <c r="A2" s="11" t="inlineStr">
        <is>
          <t>CUL_DISPONIBLE</t>
        </is>
      </c>
      <c r="B2" s="11" t="inlineStr">
        <is>
          <t>Disponible</t>
        </is>
      </c>
      <c r="C2" s="11" t="inlineStr">
        <is>
          <t>Placeholder</t>
        </is>
      </c>
      <c r="D2" s="11" t="n">
        <v>0</v>
      </c>
      <c r="E2" s="11" t="n">
        <v>0</v>
      </c>
      <c r="F2" s="11" t="inlineStr">
        <is>
          <t>Sí</t>
        </is>
      </c>
      <c r="G2" s="11" t="inlineStr">
        <is>
          <t>Etiqueta para espacio disponible</t>
        </is>
      </c>
    </row>
    <row r="3">
      <c r="A3" s="11" t="inlineStr">
        <is>
          <t>CUL_LECHUGA</t>
        </is>
      </c>
      <c r="B3" s="11" t="inlineStr">
        <is>
          <t>Lechuga</t>
        </is>
      </c>
      <c r="C3" s="11" t="inlineStr">
        <is>
          <t>Única</t>
        </is>
      </c>
      <c r="D3" s="11" t="n">
        <v>35</v>
      </c>
      <c r="E3" s="11" t="n">
        <v>50</v>
      </c>
      <c r="F3" s="11" t="inlineStr">
        <is>
          <t>Sí</t>
        </is>
      </c>
      <c r="G3" s="11" t="str"/>
    </row>
    <row r="4">
      <c r="A4" s="11" t="inlineStr">
        <is>
          <t>CUL_ACELGA</t>
        </is>
      </c>
      <c r="B4" s="11" t="inlineStr">
        <is>
          <t>Acelga</t>
        </is>
      </c>
      <c r="C4" s="11" t="inlineStr">
        <is>
          <t>Corte</t>
        </is>
      </c>
      <c r="D4" s="11" t="n">
        <v>45</v>
      </c>
      <c r="E4" s="11" t="n">
        <v>65</v>
      </c>
      <c r="F4" s="11" t="inlineStr">
        <is>
          <t>Sí</t>
        </is>
      </c>
      <c r="G4" s="11" t="str"/>
    </row>
    <row r="5">
      <c r="A5" s="11" t="inlineStr">
        <is>
          <t>CUL_PEPINO</t>
        </is>
      </c>
      <c r="B5" s="11" t="inlineStr">
        <is>
          <t>Pepino</t>
        </is>
      </c>
      <c r="C5" s="11" t="inlineStr">
        <is>
          <t>Escalonada</t>
        </is>
      </c>
      <c r="D5" s="11" t="n">
        <v>45</v>
      </c>
      <c r="E5" s="11" t="n">
        <v>65</v>
      </c>
      <c r="F5" s="11" t="inlineStr">
        <is>
          <t>Sí</t>
        </is>
      </c>
      <c r="G5" s="11" t="str"/>
    </row>
    <row r="6">
      <c r="A6" s="11" t="inlineStr">
        <is>
          <t>CUL_SANDIA</t>
        </is>
      </c>
      <c r="B6" s="11" t="inlineStr">
        <is>
          <t>Sandía</t>
        </is>
      </c>
      <c r="C6" s="11" t="inlineStr">
        <is>
          <t>Única</t>
        </is>
      </c>
      <c r="D6" s="11" t="n">
        <v>80</v>
      </c>
      <c r="E6" s="11" t="n">
        <v>100</v>
      </c>
      <c r="F6" s="11" t="inlineStr">
        <is>
          <t>Sí</t>
        </is>
      </c>
      <c r="G6" s="11" t="str"/>
    </row>
    <row r="7">
      <c r="A7" s="11" t="inlineStr">
        <is>
          <t>CUL_AYOTE</t>
        </is>
      </c>
      <c r="B7" s="11" t="inlineStr">
        <is>
          <t>Ayote</t>
        </is>
      </c>
      <c r="C7" s="11" t="inlineStr">
        <is>
          <t>Escalonada</t>
        </is>
      </c>
      <c r="D7" s="11" t="n">
        <v>90</v>
      </c>
      <c r="E7" s="11" t="n">
        <v>120</v>
      </c>
      <c r="F7" s="11" t="inlineStr">
        <is>
          <t>Sí</t>
        </is>
      </c>
      <c r="G7" s="11" t="str"/>
    </row>
    <row r="8">
      <c r="A8" s="11" t="inlineStr">
        <is>
          <t>CUL_ALBAHACA</t>
        </is>
      </c>
      <c r="B8" s="11" t="inlineStr">
        <is>
          <t>Albahaca</t>
        </is>
      </c>
      <c r="C8" s="11" t="inlineStr">
        <is>
          <t>Corte</t>
        </is>
      </c>
      <c r="D8" s="11" t="n">
        <v>35</v>
      </c>
      <c r="E8" s="11" t="n">
        <v>50</v>
      </c>
      <c r="F8" s="11" t="inlineStr">
        <is>
          <t>Sí</t>
        </is>
      </c>
      <c r="G8" s="11" t="str"/>
    </row>
    <row r="9">
      <c r="A9" s="11" t="inlineStr">
        <is>
          <t>CUL_TOMATE_CHERRY</t>
        </is>
      </c>
      <c r="B9" s="11" t="inlineStr">
        <is>
          <t>Tomate cherry</t>
        </is>
      </c>
      <c r="C9" s="11" t="inlineStr">
        <is>
          <t>Escalonada</t>
        </is>
      </c>
      <c r="D9" s="11" t="n">
        <v>75</v>
      </c>
      <c r="E9" s="11" t="n">
        <v>100</v>
      </c>
      <c r="F9" s="11" t="inlineStr">
        <is>
          <t>Sí</t>
        </is>
      </c>
      <c r="G9" s="11" t="str"/>
    </row>
    <row r="10">
      <c r="A10" s="11" t="inlineStr">
        <is>
          <t>CUL_CULANTRO</t>
        </is>
      </c>
      <c r="B10" s="11" t="inlineStr">
        <is>
          <t>Culantro</t>
        </is>
      </c>
      <c r="C10" s="11" t="inlineStr">
        <is>
          <t>Corte</t>
        </is>
      </c>
      <c r="D10" s="11" t="n">
        <v>40</v>
      </c>
      <c r="E10" s="11" t="n">
        <v>60</v>
      </c>
      <c r="F10" s="11" t="inlineStr">
        <is>
          <t>Sí</t>
        </is>
      </c>
      <c r="G10" s="11" t="str"/>
    </row>
    <row r="11">
      <c r="A11" s="11" t="inlineStr">
        <is>
          <t>CUL_CEBOLLA_BLANCA</t>
        </is>
      </c>
      <c r="B11" s="11" t="inlineStr">
        <is>
          <t>Cebolla blanca</t>
        </is>
      </c>
      <c r="C11" s="11" t="inlineStr">
        <is>
          <t>Única</t>
        </is>
      </c>
      <c r="D11" s="11" t="n">
        <v>90</v>
      </c>
      <c r="E11" s="11" t="n">
        <v>120</v>
      </c>
      <c r="F11" s="11" t="inlineStr">
        <is>
          <t>Sí</t>
        </is>
      </c>
      <c r="G11" s="11" t="str"/>
    </row>
    <row r="12">
      <c r="A12" s="11" t="inlineStr">
        <is>
          <t>CUL_CEBOLLA_MORADA</t>
        </is>
      </c>
      <c r="B12" s="11" t="inlineStr">
        <is>
          <t>Cebolla morada</t>
        </is>
      </c>
      <c r="C12" s="11" t="inlineStr">
        <is>
          <t>Única</t>
        </is>
      </c>
      <c r="D12" s="11" t="n">
        <v>90</v>
      </c>
      <c r="E12" s="11" t="n">
        <v>120</v>
      </c>
      <c r="F12" s="11" t="inlineStr">
        <is>
          <t>Sí</t>
        </is>
      </c>
      <c r="G12" s="11" t="str"/>
    </row>
    <row r="13">
      <c r="A13" s="11" t="inlineStr">
        <is>
          <t>CUL_CHILE_DULCE</t>
        </is>
      </c>
      <c r="B13" s="11" t="inlineStr">
        <is>
          <t>Chile dulce</t>
        </is>
      </c>
      <c r="C13" s="11" t="inlineStr">
        <is>
          <t>Escalonada</t>
        </is>
      </c>
      <c r="D13" s="11" t="n">
        <v>75</v>
      </c>
      <c r="E13" s="11" t="n">
        <v>100</v>
      </c>
      <c r="F13" s="11" t="inlineStr">
        <is>
          <t>Sí</t>
        </is>
      </c>
      <c r="G13" s="11" t="str"/>
    </row>
    <row r="14">
      <c r="A14" s="11" t="inlineStr">
        <is>
          <t>CUL_ARUGULA</t>
        </is>
      </c>
      <c r="B14" s="11" t="inlineStr">
        <is>
          <t>Arúgula</t>
        </is>
      </c>
      <c r="C14" s="11" t="inlineStr">
        <is>
          <t>Corte</t>
        </is>
      </c>
      <c r="D14" s="11" t="n">
        <v>25</v>
      </c>
      <c r="E14" s="11" t="n">
        <v>40</v>
      </c>
      <c r="F14" s="11" t="inlineStr">
        <is>
          <t>Sí</t>
        </is>
      </c>
      <c r="G14" s="11" t="str"/>
    </row>
    <row r="15">
      <c r="A15" s="11" t="inlineStr">
        <is>
          <t>CUL_ZUCCHINI</t>
        </is>
      </c>
      <c r="B15" s="11" t="inlineStr">
        <is>
          <t>Zucchini</t>
        </is>
      </c>
      <c r="C15" s="11" t="inlineStr">
        <is>
          <t>Escalonada</t>
        </is>
      </c>
      <c r="D15" s="11" t="n">
        <v>45</v>
      </c>
      <c r="E15" s="11" t="n">
        <v>65</v>
      </c>
      <c r="F15" s="11" t="inlineStr">
        <is>
          <t>Sí</t>
        </is>
      </c>
      <c r="G15" s="11" t="str"/>
    </row>
    <row r="16">
      <c r="A16" s="11" t="inlineStr">
        <is>
          <t>CUL_ZANAHORIA</t>
        </is>
      </c>
      <c r="B16" s="11" t="inlineStr">
        <is>
          <t>Zanahoria</t>
        </is>
      </c>
      <c r="C16" s="11" t="inlineStr">
        <is>
          <t>Única</t>
        </is>
      </c>
      <c r="D16" s="11" t="n">
        <v>80</v>
      </c>
      <c r="E16" s="11" t="n">
        <v>110</v>
      </c>
      <c r="F16" s="11" t="inlineStr">
        <is>
          <t>Sí</t>
        </is>
      </c>
      <c r="G16" s="11" t="str"/>
    </row>
    <row r="17">
      <c r="A17" s="11" t="inlineStr">
        <is>
          <t>CUL_CEBOLLINO</t>
        </is>
      </c>
      <c r="B17" s="11" t="inlineStr">
        <is>
          <t>Cebollino</t>
        </is>
      </c>
      <c r="C17" s="11" t="inlineStr">
        <is>
          <t>Corte</t>
        </is>
      </c>
      <c r="D17" s="11" t="n">
        <v>60</v>
      </c>
      <c r="E17" s="11" t="n">
        <v>90</v>
      </c>
      <c r="F17" s="11" t="inlineStr">
        <is>
          <t>Sí</t>
        </is>
      </c>
      <c r="G17" s="11" t="str"/>
    </row>
    <row r="18">
      <c r="A18" s="11" t="inlineStr">
        <is>
          <t>CUL_PEREJIL_ITALIANO</t>
        </is>
      </c>
      <c r="B18" s="11" t="inlineStr">
        <is>
          <t>Perejil italiano</t>
        </is>
      </c>
      <c r="C18" s="11" t="inlineStr">
        <is>
          <t>Corte</t>
        </is>
      </c>
      <c r="D18" s="11" t="n">
        <v>70</v>
      </c>
      <c r="E18" s="11" t="n">
        <v>100</v>
      </c>
      <c r="F18" s="11" t="inlineStr">
        <is>
          <t>Sí</t>
        </is>
      </c>
      <c r="G18" s="11" t="str"/>
    </row>
    <row r="19">
      <c r="A19" s="11" t="inlineStr">
        <is>
          <t>CUL_PEREJIL_NORMAL</t>
        </is>
      </c>
      <c r="B19" s="11" t="inlineStr">
        <is>
          <t>Perejil normal</t>
        </is>
      </c>
      <c r="C19" s="11" t="inlineStr">
        <is>
          <t>Corte</t>
        </is>
      </c>
      <c r="D19" s="11" t="n">
        <v>70</v>
      </c>
      <c r="E19" s="11" t="n">
        <v>100</v>
      </c>
      <c r="F19" s="11" t="inlineStr">
        <is>
          <t>Sí</t>
        </is>
      </c>
      <c r="G19" s="11" t="str"/>
    </row>
    <row r="20">
      <c r="A20" s="11" t="inlineStr">
        <is>
          <t>CUL_ESPINACA</t>
        </is>
      </c>
      <c r="B20" s="11" t="inlineStr">
        <is>
          <t>Espinaca</t>
        </is>
      </c>
      <c r="C20" s="11" t="inlineStr">
        <is>
          <t>Corte</t>
        </is>
      </c>
      <c r="D20" s="11" t="n">
        <v>40</v>
      </c>
      <c r="E20" s="11" t="n">
        <v>60</v>
      </c>
      <c r="F20" s="11" t="inlineStr">
        <is>
          <t>Sí</t>
        </is>
      </c>
      <c r="G20" s="11" t="str"/>
    </row>
    <row r="21">
      <c r="A21" s="11" t="inlineStr">
        <is>
          <t>CUL_APIO</t>
        </is>
      </c>
      <c r="B21" s="11" t="inlineStr">
        <is>
          <t>Apio</t>
        </is>
      </c>
      <c r="C21" s="11" t="inlineStr">
        <is>
          <t>Corte</t>
        </is>
      </c>
      <c r="D21" s="11" t="n">
        <v>90</v>
      </c>
      <c r="E21" s="11" t="n">
        <v>120</v>
      </c>
      <c r="F21" s="11" t="inlineStr">
        <is>
          <t>Sí</t>
        </is>
      </c>
      <c r="G21" s="11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19" min="1" max="1"/>
    <col width="13" customWidth="1" style="19" min="2" max="2"/>
    <col width="17" customWidth="1" style="19" min="3" max="3"/>
    <col width="22" customWidth="1" style="19" min="4" max="4"/>
    <col width="21" customWidth="1" style="19" min="5" max="5"/>
    <col width="21" customWidth="1" style="19" min="6" max="6"/>
    <col width="10" customWidth="1" style="19" min="7" max="7"/>
    <col width="15" customWidth="1" style="19" min="8" max="8"/>
    <col width="21" customWidth="1" style="19" min="9" max="9"/>
    <col width="21" customWidth="1" style="19" min="10" max="10"/>
    <col width="21" customWidth="1" style="19" min="11" max="11"/>
    <col width="14" customWidth="1" style="19" min="12" max="12"/>
    <col width="20" customWidth="1" style="19" min="13" max="13"/>
    <col width="22" customWidth="1" style="19" min="14" max="14"/>
  </cols>
  <sheetData>
    <row r="1">
      <c r="A1" s="25" t="inlineStr">
        <is>
          <t>Siembra_ID</t>
        </is>
      </c>
      <c r="B1" s="25" t="inlineStr">
        <is>
          <t>Finca_ID</t>
        </is>
      </c>
      <c r="C1" s="25" t="inlineStr">
        <is>
          <t>Unidad_ID</t>
        </is>
      </c>
      <c r="D1" s="25" t="inlineStr">
        <is>
          <t>Cultivo_ID</t>
        </is>
      </c>
      <c r="E1" s="25" t="inlineStr">
        <is>
          <t>Fecha_Siembra</t>
        </is>
      </c>
      <c r="F1" s="25" t="inlineStr">
        <is>
          <t>Fecha_Trasplante</t>
        </is>
      </c>
      <c r="G1" s="25" t="inlineStr">
        <is>
          <t>Cantidad</t>
        </is>
      </c>
      <c r="H1" s="25" t="inlineStr">
        <is>
          <t>Estado_Actual</t>
        </is>
      </c>
      <c r="I1" s="25" t="inlineStr">
        <is>
          <t>Fecha_Base</t>
        </is>
      </c>
      <c r="J1" s="25" t="inlineStr">
        <is>
          <t>Cosecha_Min</t>
        </is>
      </c>
      <c r="K1" s="25" t="inlineStr">
        <is>
          <t>Cosecha_Max</t>
        </is>
      </c>
      <c r="L1" s="25" t="inlineStr">
        <is>
          <t>Estado_Ficha</t>
        </is>
      </c>
      <c r="M1" s="25" t="inlineStr">
        <is>
          <t>Notas</t>
        </is>
      </c>
      <c r="N1" s="25" t="inlineStr">
        <is>
          <t>Evento_Agricola</t>
        </is>
      </c>
    </row>
    <row r="2">
      <c r="A2" t="inlineStr">
        <is>
          <t>SIE_MOR_001</t>
        </is>
      </c>
      <c r="B2" t="inlineStr">
        <is>
          <t>FIN_MORAVIA</t>
        </is>
      </c>
      <c r="C2" t="inlineStr">
        <is>
          <t>UNI_MOR_CAMA_01</t>
        </is>
      </c>
      <c r="D2" t="inlineStr">
        <is>
          <t>CUL_LECHUGA</t>
        </is>
      </c>
      <c r="E2" s="26" t="n">
        <v>46128</v>
      </c>
      <c r="F2" s="26" t="n"/>
      <c r="G2" t="n">
        <v>10</v>
      </c>
      <c r="H2" t="inlineStr">
        <is>
          <t>Corte</t>
        </is>
      </c>
      <c r="I2" s="26" t="n">
        <v>46128</v>
      </c>
      <c r="J2" s="27" t="n">
        <v>46163</v>
      </c>
      <c r="K2" s="27" t="n">
        <v>46178</v>
      </c>
      <c r="L2" t="inlineStr">
        <is>
          <t>Completa</t>
        </is>
      </c>
      <c r="N2" t="inlineStr">
        <is>
          <t>Ver EventosAgricolas</t>
        </is>
      </c>
    </row>
    <row r="3">
      <c r="A3" t="inlineStr">
        <is>
          <t>SIE_MOR_002</t>
        </is>
      </c>
      <c r="B3" t="inlineStr">
        <is>
          <t>FIN_MORAVIA</t>
        </is>
      </c>
      <c r="C3" t="inlineStr">
        <is>
          <t>UNI_MOR_CAMA_01</t>
        </is>
      </c>
      <c r="D3" t="inlineStr">
        <is>
          <t>CUL_CEBOLLINO</t>
        </is>
      </c>
      <c r="E3" s="26" t="n">
        <v>46032</v>
      </c>
      <c r="F3" s="26" t="n"/>
      <c r="G3" t="n">
        <v>10</v>
      </c>
      <c r="H3" t="inlineStr">
        <is>
          <t>Corte</t>
        </is>
      </c>
      <c r="I3" s="26" t="n">
        <v>46032</v>
      </c>
      <c r="J3" s="27" t="n">
        <v>46092</v>
      </c>
      <c r="K3" s="27" t="n">
        <v>46122</v>
      </c>
      <c r="L3" t="inlineStr">
        <is>
          <t>Completa</t>
        </is>
      </c>
      <c r="N3" t="inlineStr">
        <is>
          <t>Ver EventosAgricolas</t>
        </is>
      </c>
    </row>
    <row r="4">
      <c r="A4" t="inlineStr">
        <is>
          <t>SIE_MOR_003</t>
        </is>
      </c>
      <c r="B4" t="inlineStr">
        <is>
          <t>FIN_MORAVIA</t>
        </is>
      </c>
      <c r="C4" t="inlineStr">
        <is>
          <t>UNI_MOR_CAMA_01</t>
        </is>
      </c>
      <c r="D4" t="inlineStr">
        <is>
          <t>CUL_TOMATE_CHERRY</t>
        </is>
      </c>
      <c r="E4" s="26" t="n">
        <v>46128</v>
      </c>
      <c r="F4" s="26" t="n"/>
      <c r="G4" t="n">
        <v>5</v>
      </c>
      <c r="H4" t="inlineStr">
        <is>
          <t>Floración</t>
        </is>
      </c>
      <c r="I4" s="26" t="n">
        <v>46128</v>
      </c>
      <c r="J4" s="27" t="n">
        <v>46203</v>
      </c>
      <c r="K4" s="27" t="n">
        <v>46228</v>
      </c>
      <c r="L4" t="inlineStr">
        <is>
          <t>Completa</t>
        </is>
      </c>
      <c r="N4" t="inlineStr">
        <is>
          <t>Ver EventosAgricolas</t>
        </is>
      </c>
    </row>
    <row r="5">
      <c r="A5" t="inlineStr">
        <is>
          <t>SIE_MOR_004</t>
        </is>
      </c>
      <c r="B5" t="inlineStr">
        <is>
          <t>FIN_MORAVIA</t>
        </is>
      </c>
      <c r="C5" t="inlineStr">
        <is>
          <t>UNI_MOR_CAMA_01</t>
        </is>
      </c>
      <c r="D5" t="inlineStr">
        <is>
          <t>CUL_PEREJIL_ITALIANO</t>
        </is>
      </c>
      <c r="E5" s="26" t="n">
        <v>46032</v>
      </c>
      <c r="F5" s="26" t="n"/>
      <c r="G5" t="n">
        <v>1</v>
      </c>
      <c r="H5" t="inlineStr">
        <is>
          <t>Corte</t>
        </is>
      </c>
      <c r="I5" s="26" t="n">
        <v>46032</v>
      </c>
      <c r="J5" s="27" t="n">
        <v>46102</v>
      </c>
      <c r="K5" s="27" t="n">
        <v>46132</v>
      </c>
      <c r="L5" t="inlineStr">
        <is>
          <t>Completa</t>
        </is>
      </c>
      <c r="N5" t="inlineStr">
        <is>
          <t>Ver EventosAgricolas</t>
        </is>
      </c>
    </row>
    <row r="6">
      <c r="A6" t="inlineStr">
        <is>
          <t>SIE_MOR_005</t>
        </is>
      </c>
      <c r="B6" t="inlineStr">
        <is>
          <t>FIN_MORAVIA</t>
        </is>
      </c>
      <c r="C6" t="inlineStr">
        <is>
          <t>UNI_MOR_CAMA_01</t>
        </is>
      </c>
      <c r="D6" t="inlineStr">
        <is>
          <t>CUL_PEREJIL_NORMAL</t>
        </is>
      </c>
      <c r="E6" s="26" t="n">
        <v>46032</v>
      </c>
      <c r="F6" s="26" t="n"/>
      <c r="G6" t="n">
        <v>1</v>
      </c>
      <c r="H6" t="inlineStr">
        <is>
          <t>Corte</t>
        </is>
      </c>
      <c r="I6" s="26" t="n">
        <v>46032</v>
      </c>
      <c r="J6" s="27" t="n">
        <v>46102</v>
      </c>
      <c r="K6" s="27" t="n">
        <v>46132</v>
      </c>
      <c r="L6" t="inlineStr">
        <is>
          <t>Completa</t>
        </is>
      </c>
      <c r="N6" t="inlineStr">
        <is>
          <t>Ver EventosAgricolas</t>
        </is>
      </c>
    </row>
    <row r="7">
      <c r="A7" t="inlineStr">
        <is>
          <t>SIE_MOR_006</t>
        </is>
      </c>
      <c r="B7" t="inlineStr">
        <is>
          <t>FIN_MORAVIA</t>
        </is>
      </c>
      <c r="C7" t="inlineStr">
        <is>
          <t>UNI_MOR_CAMA_01</t>
        </is>
      </c>
      <c r="D7" t="inlineStr">
        <is>
          <t>CUL_ESPINACA</t>
        </is>
      </c>
      <c r="E7" s="26" t="n">
        <v>46128</v>
      </c>
      <c r="F7" s="26" t="n"/>
      <c r="G7" t="n">
        <v>1</v>
      </c>
      <c r="H7" t="inlineStr">
        <is>
          <t>Corte</t>
        </is>
      </c>
      <c r="I7" s="26" t="n">
        <v>46128</v>
      </c>
      <c r="J7" s="27" t="n">
        <v>46168</v>
      </c>
      <c r="K7" s="27" t="n">
        <v>46188</v>
      </c>
      <c r="L7" t="inlineStr">
        <is>
          <t>Completa</t>
        </is>
      </c>
      <c r="N7" t="inlineStr">
        <is>
          <t>Ver EventosAgricolas</t>
        </is>
      </c>
    </row>
    <row r="8">
      <c r="A8" t="inlineStr">
        <is>
          <t>SIE_MOR_007</t>
        </is>
      </c>
      <c r="B8" t="inlineStr">
        <is>
          <t>FIN_MORAVIA</t>
        </is>
      </c>
      <c r="C8" t="inlineStr">
        <is>
          <t>UNI_MOR_CAMA_01</t>
        </is>
      </c>
      <c r="D8" t="inlineStr">
        <is>
          <t>CUL_APIO</t>
        </is>
      </c>
      <c r="E8" s="26" t="n">
        <v>46101</v>
      </c>
      <c r="F8" s="26" t="n"/>
      <c r="G8" t="n">
        <v>3</v>
      </c>
      <c r="H8" t="inlineStr">
        <is>
          <t>Corte</t>
        </is>
      </c>
      <c r="I8" s="26" t="n">
        <v>46101</v>
      </c>
      <c r="J8" s="27" t="n">
        <v>46191</v>
      </c>
      <c r="K8" s="27" t="n">
        <v>46221</v>
      </c>
      <c r="L8" t="inlineStr">
        <is>
          <t>Completa</t>
        </is>
      </c>
      <c r="N8" t="inlineStr">
        <is>
          <t>Ver EventosAgricolas</t>
        </is>
      </c>
    </row>
    <row r="9">
      <c r="A9" t="inlineStr">
        <is>
          <t>SIE_MOR_008</t>
        </is>
      </c>
      <c r="B9" t="inlineStr">
        <is>
          <t>FIN_MORAVIA</t>
        </is>
      </c>
      <c r="C9" t="inlineStr">
        <is>
          <t>UNI_MOR_CAMA_01</t>
        </is>
      </c>
      <c r="D9" t="inlineStr">
        <is>
          <t>CUL_DISPONIBLE</t>
        </is>
      </c>
      <c r="E9" s="26" t="n"/>
      <c r="F9" s="26" t="n"/>
      <c r="G9" t="n">
        <v>1</v>
      </c>
      <c r="H9" t="inlineStr">
        <is>
          <t>Disponible</t>
        </is>
      </c>
      <c r="I9" s="26" t="n"/>
      <c r="L9" t="inlineStr">
        <is>
          <t>Completa</t>
        </is>
      </c>
      <c r="M9" t="inlineStr">
        <is>
          <t>Espacio disponible</t>
        </is>
      </c>
      <c r="N9" t="inlineStr">
        <is>
          <t>Ver EventosAgricolas</t>
        </is>
      </c>
    </row>
    <row r="10">
      <c r="A10" t="inlineStr">
        <is>
          <t>SIE_FRA_001</t>
        </is>
      </c>
      <c r="B10" t="inlineStr">
        <is>
          <t>FIN_FRAILES</t>
        </is>
      </c>
      <c r="C10" t="inlineStr">
        <is>
          <t>UNI_FRA_CAMA_01</t>
        </is>
      </c>
      <c r="D10" t="inlineStr">
        <is>
          <t>CUL_LECHUGA</t>
        </is>
      </c>
      <c r="E10" s="26" t="n"/>
      <c r="F10" s="26" t="n">
        <v>46137</v>
      </c>
      <c r="G10" t="n">
        <v>9</v>
      </c>
      <c r="H10" t="inlineStr">
        <is>
          <t>Crecimiento</t>
        </is>
      </c>
      <c r="I10" s="26" t="n">
        <v>46137</v>
      </c>
      <c r="J10" s="27" t="n">
        <v>46172</v>
      </c>
      <c r="K10" s="27" t="n">
        <v>46187</v>
      </c>
      <c r="L10" t="inlineStr">
        <is>
          <t>Completa</t>
        </is>
      </c>
      <c r="N10" t="inlineStr">
        <is>
          <t>Ver EventosAgricolas</t>
        </is>
      </c>
    </row>
    <row r="11">
      <c r="A11" t="inlineStr">
        <is>
          <t>SIE_FRA_002</t>
        </is>
      </c>
      <c r="B11" t="inlineStr">
        <is>
          <t>FIN_FRAILES</t>
        </is>
      </c>
      <c r="C11" t="inlineStr">
        <is>
          <t>UNI_FRA_CAMA_01</t>
        </is>
      </c>
      <c r="D11" t="inlineStr">
        <is>
          <t>CUL_ACELGA</t>
        </is>
      </c>
      <c r="E11" s="26" t="n"/>
      <c r="F11" s="26" t="n">
        <v>46172</v>
      </c>
      <c r="G11" t="n">
        <v>5</v>
      </c>
      <c r="H11" t="inlineStr">
        <is>
          <t>Crecimiento</t>
        </is>
      </c>
      <c r="I11" s="26" t="n">
        <v>46172</v>
      </c>
      <c r="J11" s="27" t="n">
        <v>46217</v>
      </c>
      <c r="K11" s="27" t="n">
        <v>46237</v>
      </c>
      <c r="L11" t="inlineStr">
        <is>
          <t>Completa</t>
        </is>
      </c>
      <c r="N11" t="inlineStr">
        <is>
          <t>Ver EventosAgricolas</t>
        </is>
      </c>
    </row>
    <row r="12">
      <c r="A12" t="inlineStr">
        <is>
          <t>SIE_FRA_003</t>
        </is>
      </c>
      <c r="B12" t="inlineStr">
        <is>
          <t>FIN_FRAILES</t>
        </is>
      </c>
      <c r="C12" t="inlineStr">
        <is>
          <t>UNI_FRA_CAMA_01</t>
        </is>
      </c>
      <c r="D12" t="inlineStr">
        <is>
          <t>CUL_PEPINO</t>
        </is>
      </c>
      <c r="E12" s="26" t="n"/>
      <c r="F12" s="26" t="n">
        <v>46137</v>
      </c>
      <c r="G12" t="n">
        <v>2</v>
      </c>
      <c r="H12" t="inlineStr">
        <is>
          <t>Floración</t>
        </is>
      </c>
      <c r="I12" s="26" t="n">
        <v>46137</v>
      </c>
      <c r="J12" s="27" t="n">
        <v>46182</v>
      </c>
      <c r="K12" s="27" t="n">
        <v>46202</v>
      </c>
      <c r="L12" t="inlineStr">
        <is>
          <t>Completa</t>
        </is>
      </c>
      <c r="N12" t="inlineStr">
        <is>
          <t>Ver EventosAgricolas</t>
        </is>
      </c>
    </row>
    <row r="13">
      <c r="A13" t="inlineStr">
        <is>
          <t>SIE_FRA_004</t>
        </is>
      </c>
      <c r="B13" t="inlineStr">
        <is>
          <t>FIN_FRAILES</t>
        </is>
      </c>
      <c r="C13" t="inlineStr">
        <is>
          <t>UNI_FRA_CAMA_01</t>
        </is>
      </c>
      <c r="D13" t="inlineStr">
        <is>
          <t>CUL_SANDIA</t>
        </is>
      </c>
      <c r="E13" s="26" t="n"/>
      <c r="F13" s="26" t="n">
        <v>46137</v>
      </c>
      <c r="G13" t="n">
        <v>2</v>
      </c>
      <c r="H13" t="inlineStr">
        <is>
          <t>Crecimiento</t>
        </is>
      </c>
      <c r="I13" s="26" t="n">
        <v>46137</v>
      </c>
      <c r="J13" s="27" t="n">
        <v>46217</v>
      </c>
      <c r="K13" s="27" t="n">
        <v>46237</v>
      </c>
      <c r="L13" t="inlineStr">
        <is>
          <t>Completa</t>
        </is>
      </c>
      <c r="N13" t="inlineStr">
        <is>
          <t>Ver EventosAgricolas</t>
        </is>
      </c>
    </row>
    <row r="14">
      <c r="A14" t="inlineStr">
        <is>
          <t>SIE_FRA_005</t>
        </is>
      </c>
      <c r="B14" t="inlineStr">
        <is>
          <t>FIN_FRAILES</t>
        </is>
      </c>
      <c r="C14" t="inlineStr">
        <is>
          <t>UNI_FRA_CAMA_01</t>
        </is>
      </c>
      <c r="D14" t="inlineStr">
        <is>
          <t>CUL_AYOTE</t>
        </is>
      </c>
      <c r="E14" s="26" t="n"/>
      <c r="F14" s="26" t="n">
        <v>46137</v>
      </c>
      <c r="G14" t="n">
        <v>1</v>
      </c>
      <c r="H14" t="inlineStr">
        <is>
          <t>Crecimiento</t>
        </is>
      </c>
      <c r="I14" s="26" t="n">
        <v>46137</v>
      </c>
      <c r="J14" s="27" t="n">
        <v>46227</v>
      </c>
      <c r="K14" s="27" t="n">
        <v>46257</v>
      </c>
      <c r="L14" t="inlineStr">
        <is>
          <t>Completa</t>
        </is>
      </c>
      <c r="N14" t="inlineStr">
        <is>
          <t>Ver EventosAgricolas</t>
        </is>
      </c>
    </row>
    <row r="15">
      <c r="A15" t="inlineStr">
        <is>
          <t>SIE_FRA_006</t>
        </is>
      </c>
      <c r="B15" t="inlineStr">
        <is>
          <t>FIN_FRAILES</t>
        </is>
      </c>
      <c r="C15" t="inlineStr">
        <is>
          <t>UNI_FRA_CAMA_01</t>
        </is>
      </c>
      <c r="D15" t="inlineStr">
        <is>
          <t>CUL_ALBAHACA</t>
        </is>
      </c>
      <c r="E15" s="26" t="n"/>
      <c r="F15" s="26" t="n">
        <v>46137</v>
      </c>
      <c r="G15" t="n">
        <v>1</v>
      </c>
      <c r="H15" t="inlineStr">
        <is>
          <t>Crecimiento</t>
        </is>
      </c>
      <c r="I15" s="26" t="n">
        <v>46137</v>
      </c>
      <c r="J15" s="27" t="n">
        <v>46172</v>
      </c>
      <c r="K15" s="27" t="n">
        <v>46187</v>
      </c>
      <c r="L15" t="inlineStr">
        <is>
          <t>Completa</t>
        </is>
      </c>
      <c r="N15" t="inlineStr">
        <is>
          <t>Ver EventosAgricolas</t>
        </is>
      </c>
    </row>
    <row r="16">
      <c r="A16" t="inlineStr">
        <is>
          <t>SIE_FRA_007</t>
        </is>
      </c>
      <c r="B16" t="inlineStr">
        <is>
          <t>FIN_FRAILES</t>
        </is>
      </c>
      <c r="C16" t="inlineStr">
        <is>
          <t>UNI_FRA_CAMA_02</t>
        </is>
      </c>
      <c r="D16" t="inlineStr">
        <is>
          <t>CUL_TOMATE_CHERRY</t>
        </is>
      </c>
      <c r="E16" s="26" t="n">
        <v>46137</v>
      </c>
      <c r="F16" s="26" t="n"/>
      <c r="G16" t="n">
        <v>6</v>
      </c>
      <c r="H16" t="inlineStr">
        <is>
          <t>Crecimiento</t>
        </is>
      </c>
      <c r="I16" s="26" t="n">
        <v>46137</v>
      </c>
      <c r="J16" s="27" t="n">
        <v>46212</v>
      </c>
      <c r="K16" s="27" t="n">
        <v>46237</v>
      </c>
      <c r="L16" t="inlineStr">
        <is>
          <t>Completa</t>
        </is>
      </c>
      <c r="N16" t="inlineStr">
        <is>
          <t>Ver EventosAgricolas</t>
        </is>
      </c>
    </row>
    <row r="17">
      <c r="A17" t="inlineStr">
        <is>
          <t>SIE_FRA_008</t>
        </is>
      </c>
      <c r="B17" t="inlineStr">
        <is>
          <t>FIN_FRAILES</t>
        </is>
      </c>
      <c r="C17" t="inlineStr">
        <is>
          <t>UNI_FRA_CAMA_02</t>
        </is>
      </c>
      <c r="D17" t="inlineStr">
        <is>
          <t>CUL_CULANTRO</t>
        </is>
      </c>
      <c r="E17" s="26" t="n">
        <v>46172</v>
      </c>
      <c r="F17" s="26" t="n"/>
      <c r="G17" t="n">
        <v>20</v>
      </c>
      <c r="H17" t="inlineStr">
        <is>
          <t>Crecimiento</t>
        </is>
      </c>
      <c r="I17" s="26" t="n">
        <v>46172</v>
      </c>
      <c r="J17" s="27" t="n">
        <v>46212</v>
      </c>
      <c r="K17" s="27" t="n">
        <v>46232</v>
      </c>
      <c r="L17" t="inlineStr">
        <is>
          <t>Completa</t>
        </is>
      </c>
      <c r="N17" t="inlineStr">
        <is>
          <t>Ver EventosAgricolas</t>
        </is>
      </c>
    </row>
    <row r="18">
      <c r="A18" t="inlineStr">
        <is>
          <t>SIE_FRA_009</t>
        </is>
      </c>
      <c r="B18" t="inlineStr">
        <is>
          <t>FIN_FRAILES</t>
        </is>
      </c>
      <c r="C18" t="inlineStr">
        <is>
          <t>UNI_FRA_CAMA_02</t>
        </is>
      </c>
      <c r="D18" t="inlineStr">
        <is>
          <t>CUL_CEBOLLA_BLANCA</t>
        </is>
      </c>
      <c r="E18" s="26" t="n">
        <v>46137</v>
      </c>
      <c r="F18" s="26" t="n">
        <v>46137</v>
      </c>
      <c r="G18" t="n">
        <v>50</v>
      </c>
      <c r="H18" t="inlineStr">
        <is>
          <t>Crecimiento</t>
        </is>
      </c>
      <c r="I18" s="26" t="n">
        <v>46137</v>
      </c>
      <c r="J18" s="27" t="n">
        <v>46227</v>
      </c>
      <c r="K18" s="27" t="n">
        <v>46257</v>
      </c>
      <c r="L18" t="inlineStr">
        <is>
          <t>Completa</t>
        </is>
      </c>
      <c r="N18" t="inlineStr">
        <is>
          <t>Ver EventosAgricolas</t>
        </is>
      </c>
    </row>
    <row r="19">
      <c r="A19" t="inlineStr">
        <is>
          <t>SIE_FRA_010</t>
        </is>
      </c>
      <c r="B19" t="inlineStr">
        <is>
          <t>FIN_FRAILES</t>
        </is>
      </c>
      <c r="C19" t="inlineStr">
        <is>
          <t>UNI_FRA_CAMA_03</t>
        </is>
      </c>
      <c r="D19" t="inlineStr">
        <is>
          <t>CUL_TOMATE_CHERRY</t>
        </is>
      </c>
      <c r="E19" s="26" t="n">
        <v>46137</v>
      </c>
      <c r="F19" s="26" t="n"/>
      <c r="G19" t="n">
        <v>6</v>
      </c>
      <c r="H19" t="inlineStr">
        <is>
          <t>Crecimiento</t>
        </is>
      </c>
      <c r="I19" s="26" t="n">
        <v>46137</v>
      </c>
      <c r="J19" s="27" t="n">
        <v>46212</v>
      </c>
      <c r="K19" s="27" t="n">
        <v>46237</v>
      </c>
      <c r="L19" t="inlineStr">
        <is>
          <t>Completa</t>
        </is>
      </c>
      <c r="N19" t="inlineStr">
        <is>
          <t>Ver EventosAgricolas</t>
        </is>
      </c>
    </row>
    <row r="20">
      <c r="A20" t="inlineStr">
        <is>
          <t>SIE_FRA_011</t>
        </is>
      </c>
      <c r="B20" t="inlineStr">
        <is>
          <t>FIN_FRAILES</t>
        </is>
      </c>
      <c r="C20" t="inlineStr">
        <is>
          <t>UNI_FRA_CAMA_03</t>
        </is>
      </c>
      <c r="D20" t="inlineStr">
        <is>
          <t>CUL_CULANTRO</t>
        </is>
      </c>
      <c r="E20" s="26" t="n">
        <v>46137</v>
      </c>
      <c r="F20" s="26" t="n"/>
      <c r="G20" t="n">
        <v>40</v>
      </c>
      <c r="H20" t="inlineStr">
        <is>
          <t>Crecimiento</t>
        </is>
      </c>
      <c r="I20" s="26" t="n">
        <v>46137</v>
      </c>
      <c r="J20" s="27" t="n">
        <v>46177</v>
      </c>
      <c r="K20" s="27" t="n">
        <v>46197</v>
      </c>
      <c r="L20" t="inlineStr">
        <is>
          <t>Completa</t>
        </is>
      </c>
      <c r="N20" t="inlineStr">
        <is>
          <t>Ver EventosAgricolas</t>
        </is>
      </c>
    </row>
    <row r="21">
      <c r="A21" t="inlineStr">
        <is>
          <t>SIE_FRA_012</t>
        </is>
      </c>
      <c r="B21" t="inlineStr">
        <is>
          <t>FIN_FRAILES</t>
        </is>
      </c>
      <c r="C21" t="inlineStr">
        <is>
          <t>UNI_FRA_CAMA_03</t>
        </is>
      </c>
      <c r="D21" t="inlineStr">
        <is>
          <t>CUL_CHILE_DULCE</t>
        </is>
      </c>
      <c r="E21" s="26" t="n">
        <v>46137</v>
      </c>
      <c r="F21" s="26" t="n"/>
      <c r="G21" t="n">
        <v>6</v>
      </c>
      <c r="H21" t="inlineStr">
        <is>
          <t>Crecimiento</t>
        </is>
      </c>
      <c r="I21" s="26" t="n">
        <v>46137</v>
      </c>
      <c r="J21" s="27" t="n">
        <v>46212</v>
      </c>
      <c r="K21" s="27" t="n">
        <v>46237</v>
      </c>
      <c r="L21" t="inlineStr">
        <is>
          <t>Completa</t>
        </is>
      </c>
      <c r="N21" t="inlineStr">
        <is>
          <t>Ver EventosAgricolas</t>
        </is>
      </c>
    </row>
    <row r="22">
      <c r="A22" t="inlineStr">
        <is>
          <t>SIE_FRA_013</t>
        </is>
      </c>
      <c r="B22" t="inlineStr">
        <is>
          <t>FIN_FRAILES</t>
        </is>
      </c>
      <c r="C22" t="inlineStr">
        <is>
          <t>UNI_FRA_CAMA_05</t>
        </is>
      </c>
      <c r="D22" t="inlineStr">
        <is>
          <t>CUL_CEBOLLA_MORADA</t>
        </is>
      </c>
      <c r="E22" s="26" t="n">
        <v>46172</v>
      </c>
      <c r="F22" s="26" t="n">
        <v>46172</v>
      </c>
      <c r="G22" t="n">
        <v>50</v>
      </c>
      <c r="H22" t="inlineStr">
        <is>
          <t>Crecimiento</t>
        </is>
      </c>
      <c r="I22" s="26" t="n">
        <v>46172</v>
      </c>
      <c r="J22" s="27" t="n">
        <v>46262</v>
      </c>
      <c r="K22" s="27" t="n">
        <v>46292</v>
      </c>
      <c r="L22" t="inlineStr">
        <is>
          <t>Completa</t>
        </is>
      </c>
      <c r="N22" t="inlineStr">
        <is>
          <t>Ver EventosAgricolas</t>
        </is>
      </c>
    </row>
    <row r="23">
      <c r="A23" t="inlineStr">
        <is>
          <t>SIE_FRA_014</t>
        </is>
      </c>
      <c r="B23" t="inlineStr">
        <is>
          <t>FIN_FRAILES</t>
        </is>
      </c>
      <c r="C23" t="inlineStr">
        <is>
          <t>UNI_FRA_CAMA_05</t>
        </is>
      </c>
      <c r="D23" t="inlineStr">
        <is>
          <t>CUL_ARUGULA</t>
        </is>
      </c>
      <c r="E23" s="26" t="n">
        <v>46172</v>
      </c>
      <c r="F23" s="26" t="n"/>
      <c r="G23" t="n">
        <v>6</v>
      </c>
      <c r="H23" t="inlineStr">
        <is>
          <t>Crecimiento</t>
        </is>
      </c>
      <c r="I23" s="26" t="n">
        <v>46172</v>
      </c>
      <c r="J23" s="27" t="n">
        <v>46197</v>
      </c>
      <c r="K23" s="27" t="n">
        <v>46212</v>
      </c>
      <c r="L23" t="inlineStr">
        <is>
          <t>Completa</t>
        </is>
      </c>
      <c r="N23" t="inlineStr">
        <is>
          <t>Ver EventosAgricolas</t>
        </is>
      </c>
    </row>
    <row r="24">
      <c r="A24" t="inlineStr">
        <is>
          <t>SIE_FRA_015</t>
        </is>
      </c>
      <c r="B24" t="inlineStr">
        <is>
          <t>FIN_FRAILES</t>
        </is>
      </c>
      <c r="C24" t="inlineStr">
        <is>
          <t>UNI_FRA_CAMA_05</t>
        </is>
      </c>
      <c r="D24" t="inlineStr">
        <is>
          <t>CUL_DISPONIBLE</t>
        </is>
      </c>
      <c r="E24" s="26" t="n"/>
      <c r="F24" s="26" t="n"/>
      <c r="G24" t="n">
        <v>1</v>
      </c>
      <c r="H24" t="inlineStr">
        <is>
          <t>Disponible</t>
        </is>
      </c>
      <c r="I24" s="26" t="n"/>
      <c r="L24" t="inlineStr">
        <is>
          <t>Completa</t>
        </is>
      </c>
      <c r="M24" t="inlineStr">
        <is>
          <t>Espacio disponible</t>
        </is>
      </c>
      <c r="N24" t="inlineStr">
        <is>
          <t>Ver EventosAgricolas</t>
        </is>
      </c>
    </row>
    <row r="25">
      <c r="A25" t="inlineStr">
        <is>
          <t>SIE_FRA_016</t>
        </is>
      </c>
      <c r="B25" t="inlineStr">
        <is>
          <t>FIN_FRAILES</t>
        </is>
      </c>
      <c r="C25" t="inlineStr">
        <is>
          <t>UNI_FRA_CAMA_06</t>
        </is>
      </c>
      <c r="D25" t="inlineStr">
        <is>
          <t>CUL_ZUCCHINI</t>
        </is>
      </c>
      <c r="E25" s="26" t="n">
        <v>46137</v>
      </c>
      <c r="F25" s="26" t="n"/>
      <c r="G25" t="n">
        <v>8</v>
      </c>
      <c r="H25" t="inlineStr">
        <is>
          <t>Crecimiento</t>
        </is>
      </c>
      <c r="I25" s="26" t="n">
        <v>46137</v>
      </c>
      <c r="J25" s="27" t="n">
        <v>46182</v>
      </c>
      <c r="K25" s="27" t="n">
        <v>46202</v>
      </c>
      <c r="L25" t="inlineStr">
        <is>
          <t>Completa</t>
        </is>
      </c>
      <c r="N25" t="inlineStr">
        <is>
          <t>Ver EventosAgricolas</t>
        </is>
      </c>
    </row>
    <row r="26">
      <c r="A26" t="inlineStr">
        <is>
          <t>SIE_FRA_017</t>
        </is>
      </c>
      <c r="B26" t="inlineStr">
        <is>
          <t>FIN_FRAILES</t>
        </is>
      </c>
      <c r="C26" t="inlineStr">
        <is>
          <t>UNI_FRA_CAMA_07</t>
        </is>
      </c>
      <c r="D26" t="inlineStr">
        <is>
          <t>CUL_ZANAHORIA</t>
        </is>
      </c>
      <c r="E26" s="26" t="n">
        <v>46152</v>
      </c>
      <c r="F26" s="26" t="n"/>
      <c r="G26" t="n">
        <v>35</v>
      </c>
      <c r="H26" t="inlineStr">
        <is>
          <t>Crecimiento</t>
        </is>
      </c>
      <c r="I26" s="26" t="n">
        <v>46152</v>
      </c>
      <c r="J26" s="27" t="n">
        <v>46232</v>
      </c>
      <c r="K26" s="27" t="n">
        <v>46262</v>
      </c>
      <c r="L26" t="inlineStr">
        <is>
          <t>Completa</t>
        </is>
      </c>
      <c r="N26" t="inlineStr">
        <is>
          <t>Ver EventosAgricolas</t>
        </is>
      </c>
    </row>
    <row r="27">
      <c r="A27" t="inlineStr">
        <is>
          <t>SIE_FRA_018</t>
        </is>
      </c>
      <c r="B27" t="inlineStr">
        <is>
          <t>FIN_FRAILES</t>
        </is>
      </c>
      <c r="C27" t="inlineStr">
        <is>
          <t>UNI_FRA_CAMA_04</t>
        </is>
      </c>
      <c r="D27" t="inlineStr">
        <is>
          <t>CUL_DISPONIBLE</t>
        </is>
      </c>
      <c r="E27" s="26" t="n"/>
      <c r="F27" s="26" t="n"/>
      <c r="G27" t="n">
        <v>1</v>
      </c>
      <c r="H27" t="inlineStr">
        <is>
          <t>Disponible</t>
        </is>
      </c>
      <c r="I27" s="26" t="n"/>
      <c r="L27" t="inlineStr">
        <is>
          <t>Completa</t>
        </is>
      </c>
      <c r="M27" t="inlineStr">
        <is>
          <t>Espacio disponible</t>
        </is>
      </c>
      <c r="N27" t="inlineStr">
        <is>
          <t>Ver EventosAgricolas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19" min="1" max="1"/>
    <col width="10" customWidth="1" style="19" min="2" max="2"/>
    <col width="13" customWidth="1" style="19" min="3" max="3"/>
    <col width="16" customWidth="1" style="19" min="4" max="4"/>
    <col width="17" customWidth="1" style="19" min="5" max="5"/>
    <col width="15" customWidth="1" style="19" min="6" max="6"/>
    <col width="18" customWidth="1" style="19" min="7" max="7"/>
    <col width="22" customWidth="1" style="19" min="8" max="8"/>
    <col width="10" customWidth="1" style="19" min="9" max="9"/>
    <col width="15" customWidth="1" style="19" min="10" max="10"/>
    <col width="21" customWidth="1" style="19" min="11" max="11"/>
    <col width="21" customWidth="1" style="19" min="12" max="12"/>
    <col width="21" customWidth="1" style="19" min="13" max="13"/>
    <col width="21" customWidth="1" style="19" min="14" max="14"/>
    <col width="21" customWidth="1" style="19" min="15" max="15"/>
    <col width="14" customWidth="1" style="19" min="16" max="16"/>
    <col width="13" customWidth="1" style="19" min="17" max="17"/>
    <col width="22" customWidth="1" style="19" min="18" max="18"/>
  </cols>
  <sheetData>
    <row r="1">
      <c r="A1" s="25" t="inlineStr">
        <is>
          <t>Siembra_ID</t>
        </is>
      </c>
      <c r="B1" s="25" t="inlineStr">
        <is>
          <t>Finca</t>
        </is>
      </c>
      <c r="C1" s="25" t="inlineStr">
        <is>
          <t>Finca_ID</t>
        </is>
      </c>
      <c r="D1" s="25" t="inlineStr">
        <is>
          <t>Unidad</t>
        </is>
      </c>
      <c r="E1" s="25" t="inlineStr">
        <is>
          <t>Unidad_ID</t>
        </is>
      </c>
      <c r="F1" s="25" t="inlineStr">
        <is>
          <t>Estado_Unidad</t>
        </is>
      </c>
      <c r="G1" s="25" t="inlineStr">
        <is>
          <t>Cultivo</t>
        </is>
      </c>
      <c r="H1" s="25" t="inlineStr">
        <is>
          <t>Cultivo_ID</t>
        </is>
      </c>
      <c r="I1" s="25" t="inlineStr">
        <is>
          <t>Cantidad</t>
        </is>
      </c>
      <c r="J1" s="25" t="inlineStr">
        <is>
          <t>Estado_Actual</t>
        </is>
      </c>
      <c r="K1" s="25" t="inlineStr">
        <is>
          <t>Fecha_Siembra</t>
        </is>
      </c>
      <c r="L1" s="25" t="inlineStr">
        <is>
          <t>Fecha_Trasplante</t>
        </is>
      </c>
      <c r="M1" s="25" t="inlineStr">
        <is>
          <t>Fecha_Base</t>
        </is>
      </c>
      <c r="N1" s="25" t="inlineStr">
        <is>
          <t>Cosecha_Min</t>
        </is>
      </c>
      <c r="O1" s="25" t="inlineStr">
        <is>
          <t>Cosecha_Max</t>
        </is>
      </c>
      <c r="P1" s="25" t="inlineStr">
        <is>
          <t>Alerta_Datos</t>
        </is>
      </c>
      <c r="Q1" s="25" t="inlineStr">
        <is>
          <t>Mes_Cosecha</t>
        </is>
      </c>
      <c r="R1" s="25" t="inlineStr">
        <is>
          <t>Evento_Agricola</t>
        </is>
      </c>
    </row>
    <row r="2">
      <c r="A2" t="inlineStr">
        <is>
          <t>SIE_MOR_001</t>
        </is>
      </c>
      <c r="B2" t="inlineStr">
        <is>
          <t>Moravia</t>
        </is>
      </c>
      <c r="C2" t="inlineStr">
        <is>
          <t>FIN_MORAVIA</t>
        </is>
      </c>
      <c r="D2" t="inlineStr">
        <is>
          <t>Cama Moravia 1</t>
        </is>
      </c>
      <c r="E2" t="inlineStr">
        <is>
          <t>UNI_MOR_CAMA_01</t>
        </is>
      </c>
      <c r="F2" t="inlineStr">
        <is>
          <t>Activa</t>
        </is>
      </c>
      <c r="G2" t="inlineStr">
        <is>
          <t>Lechuga</t>
        </is>
      </c>
      <c r="H2" t="inlineStr">
        <is>
          <t>CUL_LECHUGA</t>
        </is>
      </c>
      <c r="I2" t="n">
        <v>10</v>
      </c>
      <c r="J2" t="inlineStr">
        <is>
          <t>Corte</t>
        </is>
      </c>
      <c r="K2" s="26" t="n">
        <v>46128</v>
      </c>
      <c r="L2" s="26" t="n"/>
      <c r="M2" s="26" t="n">
        <v>46128</v>
      </c>
      <c r="N2" s="27" t="n">
        <v>46163</v>
      </c>
      <c r="O2" s="27" t="n">
        <v>46178</v>
      </c>
      <c r="Q2" t="inlineStr">
        <is>
          <t>2026-05</t>
        </is>
      </c>
      <c r="R2" t="inlineStr">
        <is>
          <t>Ver EventosAgricolas</t>
        </is>
      </c>
    </row>
    <row r="3">
      <c r="A3" t="inlineStr">
        <is>
          <t>SIE_MOR_002</t>
        </is>
      </c>
      <c r="B3" t="inlineStr">
        <is>
          <t>Moravia</t>
        </is>
      </c>
      <c r="C3" t="inlineStr">
        <is>
          <t>FIN_MORAVIA</t>
        </is>
      </c>
      <c r="D3" t="inlineStr">
        <is>
          <t>Cama Moravia 1</t>
        </is>
      </c>
      <c r="E3" t="inlineStr">
        <is>
          <t>UNI_MOR_CAMA_01</t>
        </is>
      </c>
      <c r="F3" t="inlineStr">
        <is>
          <t>Activa</t>
        </is>
      </c>
      <c r="G3" t="inlineStr">
        <is>
          <t>Cebollino</t>
        </is>
      </c>
      <c r="H3" t="inlineStr">
        <is>
          <t>CUL_CEBOLLINO</t>
        </is>
      </c>
      <c r="I3" t="n">
        <v>10</v>
      </c>
      <c r="J3" t="inlineStr">
        <is>
          <t>Corte</t>
        </is>
      </c>
      <c r="K3" s="26" t="n">
        <v>46032</v>
      </c>
      <c r="L3" s="26" t="n"/>
      <c r="M3" s="26" t="n">
        <v>46032</v>
      </c>
      <c r="N3" s="27" t="n">
        <v>46092</v>
      </c>
      <c r="O3" s="27" t="n">
        <v>46122</v>
      </c>
      <c r="Q3" t="inlineStr">
        <is>
          <t>2026-03</t>
        </is>
      </c>
      <c r="R3" t="inlineStr">
        <is>
          <t>Ver EventosAgricolas</t>
        </is>
      </c>
    </row>
    <row r="4">
      <c r="A4" t="inlineStr">
        <is>
          <t>SIE_MOR_003</t>
        </is>
      </c>
      <c r="B4" t="inlineStr">
        <is>
          <t>Moravia</t>
        </is>
      </c>
      <c r="C4" t="inlineStr">
        <is>
          <t>FIN_MORAVIA</t>
        </is>
      </c>
      <c r="D4" t="inlineStr">
        <is>
          <t>Cama Moravia 1</t>
        </is>
      </c>
      <c r="E4" t="inlineStr">
        <is>
          <t>UNI_MOR_CAMA_01</t>
        </is>
      </c>
      <c r="F4" t="inlineStr">
        <is>
          <t>Activa</t>
        </is>
      </c>
      <c r="G4" t="inlineStr">
        <is>
          <t>Tomate cherry</t>
        </is>
      </c>
      <c r="H4" t="inlineStr">
        <is>
          <t>CUL_TOMATE_CHERRY</t>
        </is>
      </c>
      <c r="I4" t="n">
        <v>5</v>
      </c>
      <c r="J4" t="inlineStr">
        <is>
          <t>Floración</t>
        </is>
      </c>
      <c r="K4" s="26" t="n">
        <v>46128</v>
      </c>
      <c r="L4" s="26" t="n"/>
      <c r="M4" s="26" t="n">
        <v>46128</v>
      </c>
      <c r="N4" s="27" t="n">
        <v>46203</v>
      </c>
      <c r="O4" s="27" t="n">
        <v>46228</v>
      </c>
      <c r="Q4" t="inlineStr">
        <is>
          <t>2026-06</t>
        </is>
      </c>
      <c r="R4" t="inlineStr">
        <is>
          <t>Ver EventosAgricolas</t>
        </is>
      </c>
    </row>
    <row r="5">
      <c r="A5" t="inlineStr">
        <is>
          <t>SIE_MOR_004</t>
        </is>
      </c>
      <c r="B5" t="inlineStr">
        <is>
          <t>Moravia</t>
        </is>
      </c>
      <c r="C5" t="inlineStr">
        <is>
          <t>FIN_MORAVIA</t>
        </is>
      </c>
      <c r="D5" t="inlineStr">
        <is>
          <t>Cama Moravia 1</t>
        </is>
      </c>
      <c r="E5" t="inlineStr">
        <is>
          <t>UNI_MOR_CAMA_01</t>
        </is>
      </c>
      <c r="F5" t="inlineStr">
        <is>
          <t>Activa</t>
        </is>
      </c>
      <c r="G5" t="inlineStr">
        <is>
          <t>Perejil italiano</t>
        </is>
      </c>
      <c r="H5" t="inlineStr">
        <is>
          <t>CUL_PEREJIL_ITALIANO</t>
        </is>
      </c>
      <c r="I5" t="n">
        <v>1</v>
      </c>
      <c r="J5" t="inlineStr">
        <is>
          <t>Corte</t>
        </is>
      </c>
      <c r="K5" s="26" t="n">
        <v>46032</v>
      </c>
      <c r="L5" s="26" t="n"/>
      <c r="M5" s="26" t="n">
        <v>46032</v>
      </c>
      <c r="N5" s="27" t="n">
        <v>46102</v>
      </c>
      <c r="O5" s="27" t="n">
        <v>46132</v>
      </c>
      <c r="Q5" t="inlineStr">
        <is>
          <t>2026-03</t>
        </is>
      </c>
      <c r="R5" t="inlineStr">
        <is>
          <t>Ver EventosAgricolas</t>
        </is>
      </c>
    </row>
    <row r="6">
      <c r="A6" t="inlineStr">
        <is>
          <t>SIE_MOR_005</t>
        </is>
      </c>
      <c r="B6" t="inlineStr">
        <is>
          <t>Moravia</t>
        </is>
      </c>
      <c r="C6" t="inlineStr">
        <is>
          <t>FIN_MORAVIA</t>
        </is>
      </c>
      <c r="D6" t="inlineStr">
        <is>
          <t>Cama Moravia 1</t>
        </is>
      </c>
      <c r="E6" t="inlineStr">
        <is>
          <t>UNI_MOR_CAMA_01</t>
        </is>
      </c>
      <c r="F6" t="inlineStr">
        <is>
          <t>Activa</t>
        </is>
      </c>
      <c r="G6" t="inlineStr">
        <is>
          <t>Perejil normal</t>
        </is>
      </c>
      <c r="H6" t="inlineStr">
        <is>
          <t>CUL_PEREJIL_NORMAL</t>
        </is>
      </c>
      <c r="I6" t="n">
        <v>1</v>
      </c>
      <c r="J6" t="inlineStr">
        <is>
          <t>Corte</t>
        </is>
      </c>
      <c r="K6" s="26" t="n">
        <v>46032</v>
      </c>
      <c r="L6" s="26" t="n"/>
      <c r="M6" s="26" t="n">
        <v>46032</v>
      </c>
      <c r="N6" s="27" t="n">
        <v>46102</v>
      </c>
      <c r="O6" s="27" t="n">
        <v>46132</v>
      </c>
      <c r="Q6" t="inlineStr">
        <is>
          <t>2026-03</t>
        </is>
      </c>
      <c r="R6" t="inlineStr">
        <is>
          <t>Ver EventosAgricolas</t>
        </is>
      </c>
    </row>
    <row r="7">
      <c r="A7" t="inlineStr">
        <is>
          <t>SIE_MOR_006</t>
        </is>
      </c>
      <c r="B7" t="inlineStr">
        <is>
          <t>Moravia</t>
        </is>
      </c>
      <c r="C7" t="inlineStr">
        <is>
          <t>FIN_MORAVIA</t>
        </is>
      </c>
      <c r="D7" t="inlineStr">
        <is>
          <t>Cama Moravia 1</t>
        </is>
      </c>
      <c r="E7" t="inlineStr">
        <is>
          <t>UNI_MOR_CAMA_01</t>
        </is>
      </c>
      <c r="F7" t="inlineStr">
        <is>
          <t>Activa</t>
        </is>
      </c>
      <c r="G7" t="inlineStr">
        <is>
          <t>Espinaca</t>
        </is>
      </c>
      <c r="H7" t="inlineStr">
        <is>
          <t>CUL_ESPINACA</t>
        </is>
      </c>
      <c r="I7" t="n">
        <v>1</v>
      </c>
      <c r="J7" t="inlineStr">
        <is>
          <t>Corte</t>
        </is>
      </c>
      <c r="K7" s="26" t="n">
        <v>46128</v>
      </c>
      <c r="L7" s="26" t="n"/>
      <c r="M7" s="26" t="n">
        <v>46128</v>
      </c>
      <c r="N7" s="27" t="n">
        <v>46168</v>
      </c>
      <c r="O7" s="27" t="n">
        <v>46188</v>
      </c>
      <c r="Q7" t="inlineStr">
        <is>
          <t>2026-05</t>
        </is>
      </c>
      <c r="R7" t="inlineStr">
        <is>
          <t>Ver EventosAgricolas</t>
        </is>
      </c>
    </row>
    <row r="8">
      <c r="A8" t="inlineStr">
        <is>
          <t>SIE_MOR_007</t>
        </is>
      </c>
      <c r="B8" t="inlineStr">
        <is>
          <t>Moravia</t>
        </is>
      </c>
      <c r="C8" t="inlineStr">
        <is>
          <t>FIN_MORAVIA</t>
        </is>
      </c>
      <c r="D8" t="inlineStr">
        <is>
          <t>Cama Moravia 1</t>
        </is>
      </c>
      <c r="E8" t="inlineStr">
        <is>
          <t>UNI_MOR_CAMA_01</t>
        </is>
      </c>
      <c r="F8" t="inlineStr">
        <is>
          <t>Activa</t>
        </is>
      </c>
      <c r="G8" t="inlineStr">
        <is>
          <t>Apio</t>
        </is>
      </c>
      <c r="H8" t="inlineStr">
        <is>
          <t>CUL_APIO</t>
        </is>
      </c>
      <c r="I8" t="n">
        <v>3</v>
      </c>
      <c r="J8" t="inlineStr">
        <is>
          <t>Corte</t>
        </is>
      </c>
      <c r="K8" s="26" t="n">
        <v>46101</v>
      </c>
      <c r="L8" s="26" t="n"/>
      <c r="M8" s="26" t="n">
        <v>46101</v>
      </c>
      <c r="N8" s="27" t="n">
        <v>46191</v>
      </c>
      <c r="O8" s="27" t="n">
        <v>46221</v>
      </c>
      <c r="Q8" t="inlineStr">
        <is>
          <t>2026-06</t>
        </is>
      </c>
      <c r="R8" t="inlineStr">
        <is>
          <t>Ver EventosAgricolas</t>
        </is>
      </c>
    </row>
    <row r="9">
      <c r="A9" t="inlineStr">
        <is>
          <t>SIE_MOR_008</t>
        </is>
      </c>
      <c r="B9" t="inlineStr">
        <is>
          <t>Moravia</t>
        </is>
      </c>
      <c r="C9" t="inlineStr">
        <is>
          <t>FIN_MORAVIA</t>
        </is>
      </c>
      <c r="D9" t="inlineStr">
        <is>
          <t>Cama Moravia 1</t>
        </is>
      </c>
      <c r="E9" t="inlineStr">
        <is>
          <t>UNI_MOR_CAMA_01</t>
        </is>
      </c>
      <c r="F9" t="inlineStr">
        <is>
          <t>Activa</t>
        </is>
      </c>
      <c r="G9" t="inlineStr">
        <is>
          <t>Disponible</t>
        </is>
      </c>
      <c r="H9" t="inlineStr">
        <is>
          <t>CUL_DISPONIBLE</t>
        </is>
      </c>
      <c r="I9" t="n">
        <v>1</v>
      </c>
      <c r="J9" t="inlineStr">
        <is>
          <t>Disponible</t>
        </is>
      </c>
      <c r="K9" s="26" t="n"/>
      <c r="L9" s="26" t="n"/>
      <c r="M9" s="26" t="n"/>
      <c r="Q9" t="inlineStr">
        <is>
          <t>Sin fecha</t>
        </is>
      </c>
      <c r="R9" t="inlineStr">
        <is>
          <t>Ver EventosAgricolas</t>
        </is>
      </c>
    </row>
    <row r="10">
      <c r="A10" t="inlineStr">
        <is>
          <t>SIE_FRA_001</t>
        </is>
      </c>
      <c r="B10" t="inlineStr">
        <is>
          <t>Frailes</t>
        </is>
      </c>
      <c r="C10" t="inlineStr">
        <is>
          <t>FIN_FRAILES</t>
        </is>
      </c>
      <c r="D10" t="inlineStr">
        <is>
          <t>Cama Frailes 1</t>
        </is>
      </c>
      <c r="E10" t="inlineStr">
        <is>
          <t>UNI_FRA_CAMA_01</t>
        </is>
      </c>
      <c r="F10" t="inlineStr">
        <is>
          <t>Activa</t>
        </is>
      </c>
      <c r="G10" t="inlineStr">
        <is>
          <t>Lechuga</t>
        </is>
      </c>
      <c r="H10" t="inlineStr">
        <is>
          <t>CUL_LECHUGA</t>
        </is>
      </c>
      <c r="I10" t="n">
        <v>9</v>
      </c>
      <c r="J10" t="inlineStr">
        <is>
          <t>Crecimiento</t>
        </is>
      </c>
      <c r="K10" s="26" t="n"/>
      <c r="L10" s="26" t="n">
        <v>46137</v>
      </c>
      <c r="M10" s="26" t="n">
        <v>46137</v>
      </c>
      <c r="N10" s="27" t="n">
        <v>46172</v>
      </c>
      <c r="O10" s="27" t="n">
        <v>46187</v>
      </c>
      <c r="Q10" t="inlineStr">
        <is>
          <t>2026-05</t>
        </is>
      </c>
      <c r="R10" t="inlineStr">
        <is>
          <t>Ver EventosAgricolas</t>
        </is>
      </c>
    </row>
    <row r="11">
      <c r="A11" t="inlineStr">
        <is>
          <t>SIE_FRA_002</t>
        </is>
      </c>
      <c r="B11" t="inlineStr">
        <is>
          <t>Frailes</t>
        </is>
      </c>
      <c r="C11" t="inlineStr">
        <is>
          <t>FIN_FRAILES</t>
        </is>
      </c>
      <c r="D11" t="inlineStr">
        <is>
          <t>Cama Frailes 1</t>
        </is>
      </c>
      <c r="E11" t="inlineStr">
        <is>
          <t>UNI_FRA_CAMA_01</t>
        </is>
      </c>
      <c r="F11" t="inlineStr">
        <is>
          <t>Activa</t>
        </is>
      </c>
      <c r="G11" t="inlineStr">
        <is>
          <t>Acelga</t>
        </is>
      </c>
      <c r="H11" t="inlineStr">
        <is>
          <t>CUL_ACELGA</t>
        </is>
      </c>
      <c r="I11" t="n">
        <v>5</v>
      </c>
      <c r="J11" t="inlineStr">
        <is>
          <t>Crecimiento</t>
        </is>
      </c>
      <c r="K11" s="26" t="n"/>
      <c r="L11" s="26" t="n">
        <v>46172</v>
      </c>
      <c r="M11" s="26" t="n">
        <v>46172</v>
      </c>
      <c r="N11" s="27" t="n">
        <v>46217</v>
      </c>
      <c r="O11" s="27" t="n">
        <v>46237</v>
      </c>
      <c r="Q11" t="inlineStr">
        <is>
          <t>2026-07</t>
        </is>
      </c>
      <c r="R11" t="inlineStr">
        <is>
          <t>Ver EventosAgricolas</t>
        </is>
      </c>
    </row>
    <row r="12">
      <c r="A12" t="inlineStr">
        <is>
          <t>SIE_FRA_003</t>
        </is>
      </c>
      <c r="B12" t="inlineStr">
        <is>
          <t>Frailes</t>
        </is>
      </c>
      <c r="C12" t="inlineStr">
        <is>
          <t>FIN_FRAILES</t>
        </is>
      </c>
      <c r="D12" t="inlineStr">
        <is>
          <t>Cama Frailes 1</t>
        </is>
      </c>
      <c r="E12" t="inlineStr">
        <is>
          <t>UNI_FRA_CAMA_01</t>
        </is>
      </c>
      <c r="F12" t="inlineStr">
        <is>
          <t>Activa</t>
        </is>
      </c>
      <c r="G12" t="inlineStr">
        <is>
          <t>Pepino</t>
        </is>
      </c>
      <c r="H12" t="inlineStr">
        <is>
          <t>CUL_PEPINO</t>
        </is>
      </c>
      <c r="I12" t="n">
        <v>2</v>
      </c>
      <c r="J12" t="inlineStr">
        <is>
          <t>Floración</t>
        </is>
      </c>
      <c r="K12" s="26" t="n"/>
      <c r="L12" s="26" t="n">
        <v>46137</v>
      </c>
      <c r="M12" s="26" t="n">
        <v>46137</v>
      </c>
      <c r="N12" s="27" t="n">
        <v>46182</v>
      </c>
      <c r="O12" s="27" t="n">
        <v>46202</v>
      </c>
      <c r="Q12" t="inlineStr">
        <is>
          <t>2026-06</t>
        </is>
      </c>
      <c r="R12" t="inlineStr">
        <is>
          <t>Ver EventosAgricolas</t>
        </is>
      </c>
    </row>
    <row r="13">
      <c r="A13" t="inlineStr">
        <is>
          <t>SIE_FRA_004</t>
        </is>
      </c>
      <c r="B13" t="inlineStr">
        <is>
          <t>Frailes</t>
        </is>
      </c>
      <c r="C13" t="inlineStr">
        <is>
          <t>FIN_FRAILES</t>
        </is>
      </c>
      <c r="D13" t="inlineStr">
        <is>
          <t>Cama Frailes 1</t>
        </is>
      </c>
      <c r="E13" t="inlineStr">
        <is>
          <t>UNI_FRA_CAMA_01</t>
        </is>
      </c>
      <c r="F13" t="inlineStr">
        <is>
          <t>Activa</t>
        </is>
      </c>
      <c r="G13" t="inlineStr">
        <is>
          <t>Sandía</t>
        </is>
      </c>
      <c r="H13" t="inlineStr">
        <is>
          <t>CUL_SANDIA</t>
        </is>
      </c>
      <c r="I13" t="n">
        <v>2</v>
      </c>
      <c r="J13" t="inlineStr">
        <is>
          <t>Crecimiento</t>
        </is>
      </c>
      <c r="K13" s="26" t="n"/>
      <c r="L13" s="26" t="n">
        <v>46137</v>
      </c>
      <c r="M13" s="26" t="n">
        <v>46137</v>
      </c>
      <c r="N13" s="27" t="n">
        <v>46217</v>
      </c>
      <c r="O13" s="27" t="n">
        <v>46237</v>
      </c>
      <c r="Q13" t="inlineStr">
        <is>
          <t>2026-07</t>
        </is>
      </c>
      <c r="R13" t="inlineStr">
        <is>
          <t>Ver EventosAgricolas</t>
        </is>
      </c>
    </row>
    <row r="14">
      <c r="A14" t="inlineStr">
        <is>
          <t>SIE_FRA_005</t>
        </is>
      </c>
      <c r="B14" t="inlineStr">
        <is>
          <t>Frailes</t>
        </is>
      </c>
      <c r="C14" t="inlineStr">
        <is>
          <t>FIN_FRAILES</t>
        </is>
      </c>
      <c r="D14" t="inlineStr">
        <is>
          <t>Cama Frailes 1</t>
        </is>
      </c>
      <c r="E14" t="inlineStr">
        <is>
          <t>UNI_FRA_CAMA_01</t>
        </is>
      </c>
      <c r="F14" t="inlineStr">
        <is>
          <t>Activa</t>
        </is>
      </c>
      <c r="G14" t="inlineStr">
        <is>
          <t>Ayote</t>
        </is>
      </c>
      <c r="H14" t="inlineStr">
        <is>
          <t>CUL_AYOTE</t>
        </is>
      </c>
      <c r="I14" t="n">
        <v>1</v>
      </c>
      <c r="J14" t="inlineStr">
        <is>
          <t>Crecimiento</t>
        </is>
      </c>
      <c r="K14" s="26" t="n"/>
      <c r="L14" s="26" t="n">
        <v>46137</v>
      </c>
      <c r="M14" s="26" t="n">
        <v>46137</v>
      </c>
      <c r="N14" s="27" t="n">
        <v>46227</v>
      </c>
      <c r="O14" s="27" t="n">
        <v>46257</v>
      </c>
      <c r="Q14" t="inlineStr">
        <is>
          <t>2026-07</t>
        </is>
      </c>
      <c r="R14" t="inlineStr">
        <is>
          <t>Ver EventosAgricolas</t>
        </is>
      </c>
    </row>
    <row r="15">
      <c r="A15" t="inlineStr">
        <is>
          <t>SIE_FRA_006</t>
        </is>
      </c>
      <c r="B15" t="inlineStr">
        <is>
          <t>Frailes</t>
        </is>
      </c>
      <c r="C15" t="inlineStr">
        <is>
          <t>FIN_FRAILES</t>
        </is>
      </c>
      <c r="D15" t="inlineStr">
        <is>
          <t>Cama Frailes 1</t>
        </is>
      </c>
      <c r="E15" t="inlineStr">
        <is>
          <t>UNI_FRA_CAMA_01</t>
        </is>
      </c>
      <c r="F15" t="inlineStr">
        <is>
          <t>Activa</t>
        </is>
      </c>
      <c r="G15" t="inlineStr">
        <is>
          <t>Albahaca</t>
        </is>
      </c>
      <c r="H15" t="inlineStr">
        <is>
          <t>CUL_ALBAHACA</t>
        </is>
      </c>
      <c r="I15" t="n">
        <v>1</v>
      </c>
      <c r="J15" t="inlineStr">
        <is>
          <t>Crecimiento</t>
        </is>
      </c>
      <c r="K15" s="26" t="n"/>
      <c r="L15" s="26" t="n">
        <v>46137</v>
      </c>
      <c r="M15" s="26" t="n">
        <v>46137</v>
      </c>
      <c r="N15" s="27" t="n">
        <v>46172</v>
      </c>
      <c r="O15" s="27" t="n">
        <v>46187</v>
      </c>
      <c r="Q15" t="inlineStr">
        <is>
          <t>2026-05</t>
        </is>
      </c>
      <c r="R15" t="inlineStr">
        <is>
          <t>Ver EventosAgricolas</t>
        </is>
      </c>
    </row>
    <row r="16">
      <c r="A16" t="inlineStr">
        <is>
          <t>SIE_FRA_007</t>
        </is>
      </c>
      <c r="B16" t="inlineStr">
        <is>
          <t>Frailes</t>
        </is>
      </c>
      <c r="C16" t="inlineStr">
        <is>
          <t>FIN_FRAILES</t>
        </is>
      </c>
      <c r="D16" t="inlineStr">
        <is>
          <t>Cama Frailes 2</t>
        </is>
      </c>
      <c r="E16" t="inlineStr">
        <is>
          <t>UNI_FRA_CAMA_02</t>
        </is>
      </c>
      <c r="F16" t="inlineStr">
        <is>
          <t>Activa</t>
        </is>
      </c>
      <c r="G16" t="inlineStr">
        <is>
          <t>Tomate cherry</t>
        </is>
      </c>
      <c r="H16" t="inlineStr">
        <is>
          <t>CUL_TOMATE_CHERRY</t>
        </is>
      </c>
      <c r="I16" t="n">
        <v>6</v>
      </c>
      <c r="J16" t="inlineStr">
        <is>
          <t>Crecimiento</t>
        </is>
      </c>
      <c r="K16" s="26" t="n">
        <v>46137</v>
      </c>
      <c r="L16" s="26" t="n"/>
      <c r="M16" s="26" t="n">
        <v>46137</v>
      </c>
      <c r="N16" s="27" t="n">
        <v>46212</v>
      </c>
      <c r="O16" s="27" t="n">
        <v>46237</v>
      </c>
      <c r="Q16" t="inlineStr">
        <is>
          <t>2026-07</t>
        </is>
      </c>
      <c r="R16" t="inlineStr">
        <is>
          <t>Ver EventosAgricolas</t>
        </is>
      </c>
    </row>
    <row r="17">
      <c r="A17" t="inlineStr">
        <is>
          <t>SIE_FRA_008</t>
        </is>
      </c>
      <c r="B17" t="inlineStr">
        <is>
          <t>Frailes</t>
        </is>
      </c>
      <c r="C17" t="inlineStr">
        <is>
          <t>FIN_FRAILES</t>
        </is>
      </c>
      <c r="D17" t="inlineStr">
        <is>
          <t>Cama Frailes 2</t>
        </is>
      </c>
      <c r="E17" t="inlineStr">
        <is>
          <t>UNI_FRA_CAMA_02</t>
        </is>
      </c>
      <c r="F17" t="inlineStr">
        <is>
          <t>Activa</t>
        </is>
      </c>
      <c r="G17" t="inlineStr">
        <is>
          <t>Culantro</t>
        </is>
      </c>
      <c r="H17" t="inlineStr">
        <is>
          <t>CUL_CULANTRO</t>
        </is>
      </c>
      <c r="I17" t="n">
        <v>20</v>
      </c>
      <c r="J17" t="inlineStr">
        <is>
          <t>Crecimiento</t>
        </is>
      </c>
      <c r="K17" s="26" t="n">
        <v>46172</v>
      </c>
      <c r="L17" s="26" t="n"/>
      <c r="M17" s="26" t="n">
        <v>46172</v>
      </c>
      <c r="N17" s="27" t="n">
        <v>46212</v>
      </c>
      <c r="O17" s="27" t="n">
        <v>46232</v>
      </c>
      <c r="Q17" t="inlineStr">
        <is>
          <t>2026-07</t>
        </is>
      </c>
      <c r="R17" t="inlineStr">
        <is>
          <t>Ver EventosAgricolas</t>
        </is>
      </c>
    </row>
    <row r="18">
      <c r="A18" t="inlineStr">
        <is>
          <t>SIE_FRA_009</t>
        </is>
      </c>
      <c r="B18" t="inlineStr">
        <is>
          <t>Frailes</t>
        </is>
      </c>
      <c r="C18" t="inlineStr">
        <is>
          <t>FIN_FRAILES</t>
        </is>
      </c>
      <c r="D18" t="inlineStr">
        <is>
          <t>Cama Frailes 2</t>
        </is>
      </c>
      <c r="E18" t="inlineStr">
        <is>
          <t>UNI_FRA_CAMA_02</t>
        </is>
      </c>
      <c r="F18" t="inlineStr">
        <is>
          <t>Activa</t>
        </is>
      </c>
      <c r="G18" t="inlineStr">
        <is>
          <t>Cebolla blanca</t>
        </is>
      </c>
      <c r="H18" t="inlineStr">
        <is>
          <t>CUL_CEBOLLA_BLANCA</t>
        </is>
      </c>
      <c r="I18" t="n">
        <v>50</v>
      </c>
      <c r="J18" t="inlineStr">
        <is>
          <t>Crecimiento</t>
        </is>
      </c>
      <c r="K18" s="26" t="n">
        <v>46137</v>
      </c>
      <c r="L18" s="26" t="n">
        <v>46137</v>
      </c>
      <c r="M18" s="26" t="n">
        <v>46137</v>
      </c>
      <c r="N18" s="27" t="n">
        <v>46227</v>
      </c>
      <c r="O18" s="27" t="n">
        <v>46257</v>
      </c>
      <c r="Q18" t="inlineStr">
        <is>
          <t>2026-07</t>
        </is>
      </c>
      <c r="R18" t="inlineStr">
        <is>
          <t>Ver EventosAgricolas</t>
        </is>
      </c>
    </row>
    <row r="19">
      <c r="A19" t="inlineStr">
        <is>
          <t>SIE_FRA_010</t>
        </is>
      </c>
      <c r="B19" t="inlineStr">
        <is>
          <t>Frailes</t>
        </is>
      </c>
      <c r="C19" t="inlineStr">
        <is>
          <t>FIN_FRAILES</t>
        </is>
      </c>
      <c r="D19" t="inlineStr">
        <is>
          <t>Cama Frailes 3</t>
        </is>
      </c>
      <c r="E19" t="inlineStr">
        <is>
          <t>UNI_FRA_CAMA_03</t>
        </is>
      </c>
      <c r="F19" t="inlineStr">
        <is>
          <t>Activa</t>
        </is>
      </c>
      <c r="G19" t="inlineStr">
        <is>
          <t>Tomate cherry</t>
        </is>
      </c>
      <c r="H19" t="inlineStr">
        <is>
          <t>CUL_TOMATE_CHERRY</t>
        </is>
      </c>
      <c r="I19" t="n">
        <v>6</v>
      </c>
      <c r="J19" t="inlineStr">
        <is>
          <t>Crecimiento</t>
        </is>
      </c>
      <c r="K19" s="26" t="n">
        <v>46137</v>
      </c>
      <c r="L19" s="26" t="n"/>
      <c r="M19" s="26" t="n">
        <v>46137</v>
      </c>
      <c r="N19" s="27" t="n">
        <v>46212</v>
      </c>
      <c r="O19" s="27" t="n">
        <v>46237</v>
      </c>
      <c r="Q19" t="inlineStr">
        <is>
          <t>2026-07</t>
        </is>
      </c>
      <c r="R19" t="inlineStr">
        <is>
          <t>Ver EventosAgricolas</t>
        </is>
      </c>
    </row>
    <row r="20">
      <c r="A20" t="inlineStr">
        <is>
          <t>SIE_FRA_011</t>
        </is>
      </c>
      <c r="B20" t="inlineStr">
        <is>
          <t>Frailes</t>
        </is>
      </c>
      <c r="C20" t="inlineStr">
        <is>
          <t>FIN_FRAILES</t>
        </is>
      </c>
      <c r="D20" t="inlineStr">
        <is>
          <t>Cama Frailes 3</t>
        </is>
      </c>
      <c r="E20" t="inlineStr">
        <is>
          <t>UNI_FRA_CAMA_03</t>
        </is>
      </c>
      <c r="F20" t="inlineStr">
        <is>
          <t>Activa</t>
        </is>
      </c>
      <c r="G20" t="inlineStr">
        <is>
          <t>Culantro</t>
        </is>
      </c>
      <c r="H20" t="inlineStr">
        <is>
          <t>CUL_CULANTRO</t>
        </is>
      </c>
      <c r="I20" t="n">
        <v>40</v>
      </c>
      <c r="J20" t="inlineStr">
        <is>
          <t>Crecimiento</t>
        </is>
      </c>
      <c r="K20" s="26" t="n">
        <v>46137</v>
      </c>
      <c r="L20" s="26" t="n"/>
      <c r="M20" s="26" t="n">
        <v>46137</v>
      </c>
      <c r="N20" s="27" t="n">
        <v>46177</v>
      </c>
      <c r="O20" s="27" t="n">
        <v>46197</v>
      </c>
      <c r="Q20" t="inlineStr">
        <is>
          <t>2026-06</t>
        </is>
      </c>
      <c r="R20" t="inlineStr">
        <is>
          <t>Ver EventosAgricolas</t>
        </is>
      </c>
    </row>
    <row r="21">
      <c r="A21" t="inlineStr">
        <is>
          <t>SIE_FRA_012</t>
        </is>
      </c>
      <c r="B21" t="inlineStr">
        <is>
          <t>Frailes</t>
        </is>
      </c>
      <c r="C21" t="inlineStr">
        <is>
          <t>FIN_FRAILES</t>
        </is>
      </c>
      <c r="D21" t="inlineStr">
        <is>
          <t>Cama Frailes 3</t>
        </is>
      </c>
      <c r="E21" t="inlineStr">
        <is>
          <t>UNI_FRA_CAMA_03</t>
        </is>
      </c>
      <c r="F21" t="inlineStr">
        <is>
          <t>Activa</t>
        </is>
      </c>
      <c r="G21" t="inlineStr">
        <is>
          <t>Chile dulce</t>
        </is>
      </c>
      <c r="H21" t="inlineStr">
        <is>
          <t>CUL_CHILE_DULCE</t>
        </is>
      </c>
      <c r="I21" t="n">
        <v>6</v>
      </c>
      <c r="J21" t="inlineStr">
        <is>
          <t>Crecimiento</t>
        </is>
      </c>
      <c r="K21" s="26" t="n">
        <v>46137</v>
      </c>
      <c r="L21" s="26" t="n"/>
      <c r="M21" s="26" t="n">
        <v>46137</v>
      </c>
      <c r="N21" s="27" t="n">
        <v>46212</v>
      </c>
      <c r="O21" s="27" t="n">
        <v>46237</v>
      </c>
      <c r="Q21" t="inlineStr">
        <is>
          <t>2026-07</t>
        </is>
      </c>
      <c r="R21" t="inlineStr">
        <is>
          <t>Ver EventosAgricolas</t>
        </is>
      </c>
    </row>
    <row r="22">
      <c r="A22" t="inlineStr">
        <is>
          <t>SIE_FRA_013</t>
        </is>
      </c>
      <c r="B22" t="inlineStr">
        <is>
          <t>Frailes</t>
        </is>
      </c>
      <c r="C22" t="inlineStr">
        <is>
          <t>FIN_FRAILES</t>
        </is>
      </c>
      <c r="D22" t="inlineStr">
        <is>
          <t>Cama Frailes 5</t>
        </is>
      </c>
      <c r="E22" t="inlineStr">
        <is>
          <t>UNI_FRA_CAMA_05</t>
        </is>
      </c>
      <c r="F22" t="inlineStr">
        <is>
          <t>Activa</t>
        </is>
      </c>
      <c r="G22" t="inlineStr">
        <is>
          <t>Cebolla morada</t>
        </is>
      </c>
      <c r="H22" t="inlineStr">
        <is>
          <t>CUL_CEBOLLA_MORADA</t>
        </is>
      </c>
      <c r="I22" t="n">
        <v>50</v>
      </c>
      <c r="J22" t="inlineStr">
        <is>
          <t>Crecimiento</t>
        </is>
      </c>
      <c r="K22" s="26" t="n">
        <v>46172</v>
      </c>
      <c r="L22" s="26" t="n">
        <v>46172</v>
      </c>
      <c r="M22" s="26" t="n">
        <v>46172</v>
      </c>
      <c r="N22" s="27" t="n">
        <v>46262</v>
      </c>
      <c r="O22" s="27" t="n">
        <v>46292</v>
      </c>
      <c r="Q22" t="inlineStr">
        <is>
          <t>2026-08</t>
        </is>
      </c>
      <c r="R22" t="inlineStr">
        <is>
          <t>Ver EventosAgricolas</t>
        </is>
      </c>
    </row>
    <row r="23">
      <c r="A23" t="inlineStr">
        <is>
          <t>SIE_FRA_014</t>
        </is>
      </c>
      <c r="B23" t="inlineStr">
        <is>
          <t>Frailes</t>
        </is>
      </c>
      <c r="C23" t="inlineStr">
        <is>
          <t>FIN_FRAILES</t>
        </is>
      </c>
      <c r="D23" t="inlineStr">
        <is>
          <t>Cama Frailes 5</t>
        </is>
      </c>
      <c r="E23" t="inlineStr">
        <is>
          <t>UNI_FRA_CAMA_05</t>
        </is>
      </c>
      <c r="F23" t="inlineStr">
        <is>
          <t>Activa</t>
        </is>
      </c>
      <c r="G23" t="inlineStr">
        <is>
          <t>Arúgula</t>
        </is>
      </c>
      <c r="H23" t="inlineStr">
        <is>
          <t>CUL_ARUGULA</t>
        </is>
      </c>
      <c r="I23" t="n">
        <v>6</v>
      </c>
      <c r="J23" t="inlineStr">
        <is>
          <t>Crecimiento</t>
        </is>
      </c>
      <c r="K23" s="26" t="n">
        <v>46172</v>
      </c>
      <c r="L23" s="26" t="n"/>
      <c r="M23" s="26" t="n">
        <v>46172</v>
      </c>
      <c r="N23" s="27" t="n">
        <v>46197</v>
      </c>
      <c r="O23" s="27" t="n">
        <v>46212</v>
      </c>
      <c r="Q23" t="inlineStr">
        <is>
          <t>2026-06</t>
        </is>
      </c>
      <c r="R23" t="inlineStr">
        <is>
          <t>Ver EventosAgricolas</t>
        </is>
      </c>
    </row>
    <row r="24">
      <c r="A24" t="inlineStr">
        <is>
          <t>SIE_FRA_015</t>
        </is>
      </c>
      <c r="B24" t="inlineStr">
        <is>
          <t>Frailes</t>
        </is>
      </c>
      <c r="C24" t="inlineStr">
        <is>
          <t>FIN_FRAILES</t>
        </is>
      </c>
      <c r="D24" t="inlineStr">
        <is>
          <t>Cama Frailes 5</t>
        </is>
      </c>
      <c r="E24" t="inlineStr">
        <is>
          <t>UNI_FRA_CAMA_05</t>
        </is>
      </c>
      <c r="F24" t="inlineStr">
        <is>
          <t>Activa</t>
        </is>
      </c>
      <c r="G24" t="inlineStr">
        <is>
          <t>Disponible</t>
        </is>
      </c>
      <c r="H24" t="inlineStr">
        <is>
          <t>CUL_DISPONIBLE</t>
        </is>
      </c>
      <c r="I24" t="n">
        <v>1</v>
      </c>
      <c r="J24" t="inlineStr">
        <is>
          <t>Disponible</t>
        </is>
      </c>
      <c r="K24" s="26" t="n"/>
      <c r="L24" s="26" t="n"/>
      <c r="M24" s="26" t="n"/>
      <c r="Q24" t="inlineStr">
        <is>
          <t>Sin fecha</t>
        </is>
      </c>
      <c r="R24" t="inlineStr">
        <is>
          <t>Ver EventosAgricolas</t>
        </is>
      </c>
    </row>
    <row r="25">
      <c r="A25" t="inlineStr">
        <is>
          <t>SIE_FRA_016</t>
        </is>
      </c>
      <c r="B25" t="inlineStr">
        <is>
          <t>Frailes</t>
        </is>
      </c>
      <c r="C25" t="inlineStr">
        <is>
          <t>FIN_FRAILES</t>
        </is>
      </c>
      <c r="D25" t="inlineStr">
        <is>
          <t>Cama Frailes 6</t>
        </is>
      </c>
      <c r="E25" t="inlineStr">
        <is>
          <t>UNI_FRA_CAMA_06</t>
        </is>
      </c>
      <c r="F25" t="inlineStr">
        <is>
          <t>Activa</t>
        </is>
      </c>
      <c r="G25" t="inlineStr">
        <is>
          <t>Zucchini</t>
        </is>
      </c>
      <c r="H25" t="inlineStr">
        <is>
          <t>CUL_ZUCCHINI</t>
        </is>
      </c>
      <c r="I25" t="n">
        <v>8</v>
      </c>
      <c r="J25" t="inlineStr">
        <is>
          <t>Crecimiento</t>
        </is>
      </c>
      <c r="K25" s="26" t="n">
        <v>46137</v>
      </c>
      <c r="L25" s="26" t="n"/>
      <c r="M25" s="26" t="n">
        <v>46137</v>
      </c>
      <c r="N25" s="27" t="n">
        <v>46182</v>
      </c>
      <c r="O25" s="27" t="n">
        <v>46202</v>
      </c>
      <c r="Q25" t="inlineStr">
        <is>
          <t>2026-06</t>
        </is>
      </c>
      <c r="R25" t="inlineStr">
        <is>
          <t>Ver EventosAgricolas</t>
        </is>
      </c>
    </row>
    <row r="26">
      <c r="A26" t="inlineStr">
        <is>
          <t>SIE_FRA_017</t>
        </is>
      </c>
      <c r="B26" t="inlineStr">
        <is>
          <t>Frailes</t>
        </is>
      </c>
      <c r="C26" t="inlineStr">
        <is>
          <t>FIN_FRAILES</t>
        </is>
      </c>
      <c r="D26" t="inlineStr">
        <is>
          <t>Cama Frailes 7</t>
        </is>
      </c>
      <c r="E26" t="inlineStr">
        <is>
          <t>UNI_FRA_CAMA_07</t>
        </is>
      </c>
      <c r="F26" t="inlineStr">
        <is>
          <t>Activa</t>
        </is>
      </c>
      <c r="G26" t="inlineStr">
        <is>
          <t>Zanahoria</t>
        </is>
      </c>
      <c r="H26" t="inlineStr">
        <is>
          <t>CUL_ZANAHORIA</t>
        </is>
      </c>
      <c r="I26" t="n">
        <v>35</v>
      </c>
      <c r="J26" t="inlineStr">
        <is>
          <t>Crecimiento</t>
        </is>
      </c>
      <c r="K26" s="26" t="n">
        <v>46152</v>
      </c>
      <c r="L26" s="26" t="n"/>
      <c r="M26" s="26" t="n">
        <v>46152</v>
      </c>
      <c r="N26" s="27" t="n">
        <v>46232</v>
      </c>
      <c r="O26" s="27" t="n">
        <v>46262</v>
      </c>
      <c r="Q26" t="inlineStr">
        <is>
          <t>2026-07</t>
        </is>
      </c>
      <c r="R26" t="inlineStr">
        <is>
          <t>Ver EventosAgricolas</t>
        </is>
      </c>
    </row>
    <row r="27">
      <c r="A27" t="inlineStr">
        <is>
          <t>SIE_FRA_018</t>
        </is>
      </c>
      <c r="B27" t="inlineStr">
        <is>
          <t>Frailes</t>
        </is>
      </c>
      <c r="C27" t="inlineStr">
        <is>
          <t>FIN_FRAILES</t>
        </is>
      </c>
      <c r="D27" t="inlineStr">
        <is>
          <t>Cama Frailes 4</t>
        </is>
      </c>
      <c r="E27" t="inlineStr">
        <is>
          <t>UNI_FRA_CAMA_04</t>
        </is>
      </c>
      <c r="F27" t="inlineStr">
        <is>
          <t>Activa</t>
        </is>
      </c>
      <c r="G27" t="inlineStr">
        <is>
          <t>Disponible</t>
        </is>
      </c>
      <c r="H27" t="inlineStr">
        <is>
          <t>CUL_DISPONIBLE</t>
        </is>
      </c>
      <c r="I27" t="n">
        <v>1</v>
      </c>
      <c r="J27" t="inlineStr">
        <is>
          <t>Disponible</t>
        </is>
      </c>
      <c r="K27" s="26" t="n"/>
      <c r="L27" s="26" t="n"/>
      <c r="M27" s="26" t="n"/>
      <c r="Q27" t="inlineStr">
        <is>
          <t>Sin fecha</t>
        </is>
      </c>
      <c r="R27" t="inlineStr">
        <is>
          <t>Ver EventosAgricolas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19" min="1" max="1"/>
    <col width="23" customWidth="1" style="19" min="2" max="2"/>
  </cols>
  <sheetData>
    <row r="1">
      <c r="A1" s="25" t="inlineStr">
        <is>
          <t>Lista</t>
        </is>
      </c>
      <c r="B1" s="25" t="inlineStr">
        <is>
          <t>Valor</t>
        </is>
      </c>
    </row>
    <row r="2">
      <c r="A2" t="inlineStr">
        <is>
          <t>Estados_Unidad</t>
        </is>
      </c>
      <c r="B2" t="inlineStr">
        <is>
          <t>Activa</t>
        </is>
      </c>
    </row>
    <row r="3">
      <c r="A3" t="inlineStr">
        <is>
          <t>Estados_Unidad</t>
        </is>
      </c>
      <c r="B3" t="inlineStr">
        <is>
          <t>No activa</t>
        </is>
      </c>
    </row>
    <row r="4">
      <c r="A4" t="inlineStr">
        <is>
          <t>Estados_Cultivo</t>
        </is>
      </c>
      <c r="B4" t="inlineStr">
        <is>
          <t>Crecimiento</t>
        </is>
      </c>
    </row>
    <row r="5">
      <c r="A5" t="inlineStr">
        <is>
          <t>Estados_Cultivo</t>
        </is>
      </c>
      <c r="B5" t="inlineStr">
        <is>
          <t>Floración</t>
        </is>
      </c>
    </row>
    <row r="6">
      <c r="A6" t="inlineStr">
        <is>
          <t>Estados_Cultivo</t>
        </is>
      </c>
      <c r="B6" t="inlineStr">
        <is>
          <t>Disponible</t>
        </is>
      </c>
    </row>
    <row r="7">
      <c r="A7" t="inlineStr">
        <is>
          <t>Estados_Cultivo</t>
        </is>
      </c>
      <c r="B7" t="inlineStr">
        <is>
          <t>Cosechado</t>
        </is>
      </c>
    </row>
    <row r="8">
      <c r="A8" t="inlineStr">
        <is>
          <t>Estados_Cultivo</t>
        </is>
      </c>
      <c r="B8" t="inlineStr">
        <is>
          <t>Sin fecha</t>
        </is>
      </c>
    </row>
    <row r="9">
      <c r="A9" t="inlineStr">
        <is>
          <t>Estados_Cultivo</t>
        </is>
      </c>
      <c r="B9" t="inlineStr">
        <is>
          <t>Corte</t>
        </is>
      </c>
    </row>
    <row r="10">
      <c r="A10" t="inlineStr">
        <is>
          <t>Tipos_Evento</t>
        </is>
      </c>
      <c r="B10" t="inlineStr">
        <is>
          <t>Control fitosanitario</t>
        </is>
      </c>
    </row>
    <row r="11">
      <c r="A11" t="inlineStr">
        <is>
          <t>Tipos_Evento</t>
        </is>
      </c>
      <c r="B11" t="inlineStr">
        <is>
          <t>Abono tierra</t>
        </is>
      </c>
    </row>
    <row r="12">
      <c r="A12" t="inlineStr">
        <is>
          <t>Tipos_Evento</t>
        </is>
      </c>
      <c r="B12" t="inlineStr">
        <is>
          <t>Abono foliar</t>
        </is>
      </c>
    </row>
    <row r="13">
      <c r="A13" t="inlineStr">
        <is>
          <t>Tipos_Evento</t>
        </is>
      </c>
      <c r="B13" t="inlineStr">
        <is>
          <t>Poda</t>
        </is>
      </c>
    </row>
    <row r="14">
      <c r="A14" t="inlineStr">
        <is>
          <t>Tipos_Evento</t>
        </is>
      </c>
      <c r="B14" t="inlineStr">
        <is>
          <t>Estrés hídrico</t>
        </is>
      </c>
    </row>
    <row r="15">
      <c r="A15" t="inlineStr">
        <is>
          <t>Tipos_Evento</t>
        </is>
      </c>
      <c r="B15" t="inlineStr">
        <is>
          <t>Arqueo de ramas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19" min="1" max="1"/>
    <col width="22" customWidth="1" style="19" min="2" max="2"/>
    <col width="23" customWidth="1" style="19" min="3" max="3"/>
    <col width="12" customWidth="1" style="19" min="4" max="4"/>
    <col width="28" customWidth="1" style="19" min="5" max="5"/>
    <col width="28" customWidth="1" style="19" min="6" max="6"/>
    <col width="18" customWidth="1" style="19" min="7" max="7"/>
    <col width="28" customWidth="1" style="19" min="8" max="8"/>
    <col width="28" customWidth="1" style="19" min="9" max="9"/>
    <col width="17" customWidth="1" style="19" min="10" max="10"/>
  </cols>
  <sheetData>
    <row r="1">
      <c r="A1" s="25" t="inlineStr">
        <is>
          <t>ID_Insumo</t>
        </is>
      </c>
      <c r="B1" s="25" t="inlineStr">
        <is>
          <t>Nombre</t>
        </is>
      </c>
      <c r="C1" s="25" t="inlineStr">
        <is>
          <t>Tipo</t>
        </is>
      </c>
      <c r="D1" s="25" t="inlineStr">
        <is>
          <t>Disponible</t>
        </is>
      </c>
      <c r="E1" s="25" t="inlineStr">
        <is>
          <t>Uso_Principal</t>
        </is>
      </c>
      <c r="F1" s="25" t="inlineStr">
        <is>
          <t>Restricciones/Notas</t>
        </is>
      </c>
      <c r="G1" s="25" t="inlineStr">
        <is>
          <t>Compra_Requerida</t>
        </is>
      </c>
      <c r="H1" s="25" t="inlineStr">
        <is>
          <t>Cantidad_Guia</t>
        </is>
      </c>
      <c r="I1" s="25" t="inlineStr">
        <is>
          <t>Momento_Aplicacion</t>
        </is>
      </c>
      <c r="J1" s="25" t="inlineStr">
        <is>
          <t>Frecuencia_Dias</t>
        </is>
      </c>
    </row>
    <row r="2">
      <c r="A2" t="inlineStr">
        <is>
          <t>INS_COBRE</t>
        </is>
      </c>
      <c r="B2" t="inlineStr">
        <is>
          <t>Cobre</t>
        </is>
      </c>
      <c r="C2" t="inlineStr">
        <is>
          <t>Control fitosanitario</t>
        </is>
      </c>
      <c r="D2" t="inlineStr">
        <is>
          <t>Sí</t>
        </is>
      </c>
      <c r="E2" t="inlineStr">
        <is>
          <t>Hongos y bacterias en manejo preventivo/correctivo</t>
        </is>
      </c>
      <c r="F2" t="inlineStr">
        <is>
          <t>Evitar mezclar sin validar compatibilidad; aplicar temprano/tarde</t>
        </is>
      </c>
      <c r="G2" t="inlineStr">
        <is>
          <t>No</t>
        </is>
      </c>
      <c r="H2" t="inlineStr">
        <is>
          <t>Según etiqueta</t>
        </is>
      </c>
      <c r="I2" t="inlineStr">
        <is>
          <t>Preventivo / presión de hongos</t>
        </is>
      </c>
      <c r="J2" t="n">
        <v>21</v>
      </c>
    </row>
    <row r="3">
      <c r="A3" t="inlineStr">
        <is>
          <t>INS_NEEM</t>
        </is>
      </c>
      <c r="B3" t="inlineStr">
        <is>
          <t>Neem</t>
        </is>
      </c>
      <c r="C3" t="inlineStr">
        <is>
          <t>Control fitosanitario</t>
        </is>
      </c>
      <c r="D3" t="inlineStr">
        <is>
          <t>Sí</t>
        </is>
      </c>
      <c r="E3" t="inlineStr">
        <is>
          <t>Control preventivo de insectos blandos</t>
        </is>
      </c>
      <c r="F3" t="inlineStr">
        <is>
          <t>Evitar sol fuerte; repetir según presión de plaga</t>
        </is>
      </c>
      <c r="G3" t="inlineStr">
        <is>
          <t>No</t>
        </is>
      </c>
      <c r="H3" t="inlineStr">
        <is>
          <t>Según etiqueta</t>
        </is>
      </c>
      <c r="I3" t="inlineStr">
        <is>
          <t>Preventivo / presión de insectos</t>
        </is>
      </c>
      <c r="J3" t="n">
        <v>15</v>
      </c>
    </row>
    <row r="4">
      <c r="A4" t="inlineStr">
        <is>
          <t>INS_JABON_POTASICO</t>
        </is>
      </c>
      <c r="B4" t="inlineStr">
        <is>
          <t>Jabón Potásico</t>
        </is>
      </c>
      <c r="C4" t="inlineStr">
        <is>
          <t>Control fitosanitario</t>
        </is>
      </c>
      <c r="D4" t="inlineStr">
        <is>
          <t>Sí</t>
        </is>
      </c>
      <c r="E4" t="inlineStr">
        <is>
          <t>Control de insectos blandos y limpieza foliar</t>
        </is>
      </c>
      <c r="F4" t="inlineStr">
        <is>
          <t>Probar en pocas hojas antes de aplicar general</t>
        </is>
      </c>
      <c r="G4" t="inlineStr">
        <is>
          <t>No</t>
        </is>
      </c>
      <c r="H4" t="inlineStr">
        <is>
          <t>Según etiqueta</t>
        </is>
      </c>
      <c r="I4" t="inlineStr">
        <is>
          <t>Presencia de insectos blandos</t>
        </is>
      </c>
      <c r="J4" t="n">
        <v>10</v>
      </c>
    </row>
    <row r="5">
      <c r="A5" t="inlineStr">
        <is>
          <t>INS_MISTRAL</t>
        </is>
      </c>
      <c r="B5" t="inlineStr">
        <is>
          <t>Mistral</t>
        </is>
      </c>
      <c r="C5" t="inlineStr">
        <is>
          <t>Control fitosanitario</t>
        </is>
      </c>
      <c r="D5" t="inlineStr">
        <is>
          <t>Sí</t>
        </is>
      </c>
      <c r="E5" t="inlineStr">
        <is>
          <t>Control fitosanitario según etiqueta</t>
        </is>
      </c>
      <c r="F5" t="inlineStr">
        <is>
          <t>Usar dosis de etiqueta; no aplicar en horas de calor</t>
        </is>
      </c>
      <c r="G5" t="inlineStr">
        <is>
          <t>No</t>
        </is>
      </c>
      <c r="H5" t="inlineStr">
        <is>
          <t>Según etiqueta</t>
        </is>
      </c>
      <c r="I5" t="inlineStr">
        <is>
          <t>Preventivo / control activo</t>
        </is>
      </c>
      <c r="J5" t="n">
        <v>30</v>
      </c>
    </row>
    <row r="6">
      <c r="A6" t="inlineStr">
        <is>
          <t>INS_BICARBONATO</t>
        </is>
      </c>
      <c r="B6" t="inlineStr">
        <is>
          <t>Bicarbonato de Sodio</t>
        </is>
      </c>
      <c r="C6" t="inlineStr">
        <is>
          <t>Control fitosanitario</t>
        </is>
      </c>
      <c r="D6" t="inlineStr">
        <is>
          <t>Sí</t>
        </is>
      </c>
      <c r="E6" t="inlineStr">
        <is>
          <t>Apoyo preventivo contra hongos superficiales</t>
        </is>
      </c>
      <c r="F6" t="inlineStr">
        <is>
          <t>No abusar; puede quemar hojas si se concentra</t>
        </is>
      </c>
      <c r="G6" t="inlineStr">
        <is>
          <t>No</t>
        </is>
      </c>
      <c r="H6" t="inlineStr">
        <is>
          <t>Baja dosis</t>
        </is>
      </c>
      <c r="I6" t="inlineStr">
        <is>
          <t>Preventivo hongos superficiales</t>
        </is>
      </c>
      <c r="J6" t="n">
        <v>10</v>
      </c>
    </row>
    <row r="7">
      <c r="A7" t="inlineStr">
        <is>
          <t>INS_CAL_DOLOMITA</t>
        </is>
      </c>
      <c r="B7" t="inlineStr">
        <is>
          <t>Cal Dolomita</t>
        </is>
      </c>
      <c r="C7" t="inlineStr">
        <is>
          <t>Abono tierra</t>
        </is>
      </c>
      <c r="D7" t="inlineStr">
        <is>
          <t>Sí</t>
        </is>
      </c>
      <c r="E7" t="inlineStr">
        <is>
          <t>Corrección de suelo y aporte de calcio/magnesio</t>
        </is>
      </c>
      <c r="F7" t="inlineStr">
        <is>
          <t>No aplicar pegado al tronco; incorporar superficialmente</t>
        </is>
      </c>
      <c r="G7" t="inlineStr">
        <is>
          <t>No</t>
        </is>
      </c>
      <c r="H7" t="inlineStr">
        <is>
          <t>Según tamaño de árbol</t>
        </is>
      </c>
      <c r="I7" t="inlineStr">
        <is>
          <t>Postcosecha / preparación de suelo</t>
        </is>
      </c>
      <c r="J7" t="n">
        <v>180</v>
      </c>
    </row>
    <row r="8">
      <c r="A8" t="inlineStr">
        <is>
          <t>INS_CENIZA</t>
        </is>
      </c>
      <c r="B8" t="inlineStr">
        <is>
          <t>Ceniza</t>
        </is>
      </c>
      <c r="C8" t="inlineStr">
        <is>
          <t>Abono tierra</t>
        </is>
      </c>
      <c r="D8" t="inlineStr">
        <is>
          <t>Sí</t>
        </is>
      </c>
      <c r="E8" t="inlineStr">
        <is>
          <t>Aporte de potasio y minerales; enmienda suave</t>
        </is>
      </c>
      <c r="F8" t="inlineStr">
        <is>
          <t>Usar moderado; puede subir pH</t>
        </is>
      </c>
      <c r="G8" t="inlineStr">
        <is>
          <t>No</t>
        </is>
      </c>
      <c r="H8" t="inlineStr">
        <is>
          <t>Puñado controlado</t>
        </is>
      </c>
      <c r="I8" t="inlineStr">
        <is>
          <t>Postcosecha / desarrollo vegetativo</t>
        </is>
      </c>
      <c r="J8" t="n">
        <v>60</v>
      </c>
    </row>
    <row r="9">
      <c r="A9" t="inlineStr">
        <is>
          <t>INS_MELASA</t>
        </is>
      </c>
      <c r="B9" t="inlineStr">
        <is>
          <t>Melasa</t>
        </is>
      </c>
      <c r="C9" t="inlineStr">
        <is>
          <t>Abono tierra</t>
        </is>
      </c>
      <c r="D9" t="inlineStr">
        <is>
          <t>Sí</t>
        </is>
      </c>
      <c r="E9" t="inlineStr">
        <is>
          <t>Activación biológica en mezclas y compost</t>
        </is>
      </c>
      <c r="F9" t="inlineStr">
        <is>
          <t>Usar dosis baja; evitar exceso de azúcar</t>
        </is>
      </c>
      <c r="G9" t="inlineStr">
        <is>
          <t>No</t>
        </is>
      </c>
      <c r="H9" t="inlineStr">
        <is>
          <t>Baja dosis</t>
        </is>
      </c>
      <c r="I9" t="inlineStr">
        <is>
          <t>Activación biológica / compost</t>
        </is>
      </c>
      <c r="J9" t="n">
        <v>30</v>
      </c>
    </row>
    <row r="10">
      <c r="A10" t="inlineStr">
        <is>
          <t>INS_COMPOST</t>
        </is>
      </c>
      <c r="B10" t="inlineStr">
        <is>
          <t>Compost</t>
        </is>
      </c>
      <c r="C10" t="inlineStr">
        <is>
          <t>Abono tierra</t>
        </is>
      </c>
      <c r="D10" t="inlineStr">
        <is>
          <t>Sí</t>
        </is>
      </c>
      <c r="E10" t="inlineStr">
        <is>
          <t>Materia orgánica y mejora del suelo</t>
        </is>
      </c>
      <c r="F10" t="inlineStr">
        <is>
          <t>Aplicar maduro; evitar contacto directo con cuello</t>
        </is>
      </c>
      <c r="G10" t="inlineStr">
        <is>
          <t>No</t>
        </is>
      </c>
      <c r="H10" t="inlineStr">
        <is>
          <t>Capa superficial</t>
        </is>
      </c>
      <c r="I10" t="inlineStr">
        <is>
          <t>Postcosecha / establecimiento</t>
        </is>
      </c>
      <c r="J10" t="n">
        <v>90</v>
      </c>
    </row>
    <row r="11">
      <c r="A11" t="inlineStr">
        <is>
          <t>INS_HENO</t>
        </is>
      </c>
      <c r="B11" t="inlineStr">
        <is>
          <t>Heno</t>
        </is>
      </c>
      <c r="C11" t="inlineStr">
        <is>
          <t>Abono tierra</t>
        </is>
      </c>
      <c r="D11" t="inlineStr">
        <is>
          <t>Sí</t>
        </is>
      </c>
      <c r="E11" t="inlineStr">
        <is>
          <t>Cobertura/mulch para humedad y protección de suelo</t>
        </is>
      </c>
      <c r="F11" t="inlineStr">
        <is>
          <t>Mantener separado del tronco para evitar hongos</t>
        </is>
      </c>
      <c r="G11" t="inlineStr">
        <is>
          <t>No</t>
        </is>
      </c>
      <c r="H11" t="inlineStr">
        <is>
          <t>Cobertura sin tocar tronco</t>
        </is>
      </c>
      <c r="I11" t="inlineStr">
        <is>
          <t>Época seca / protección de suelo</t>
        </is>
      </c>
      <c r="J11" t="n">
        <v>60</v>
      </c>
    </row>
    <row r="12">
      <c r="A12" t="inlineStr">
        <is>
          <t>INS_GALLINAZA</t>
        </is>
      </c>
      <c r="B12" t="inlineStr">
        <is>
          <t>Gallinaza</t>
        </is>
      </c>
      <c r="C12" t="inlineStr">
        <is>
          <t>Abono tierra</t>
        </is>
      </c>
      <c r="D12" t="inlineStr">
        <is>
          <t>No</t>
        </is>
      </c>
      <c r="E12" t="inlineStr">
        <is>
          <t>Abono orgánico alto en nitrógeno</t>
        </is>
      </c>
      <c r="F12" t="inlineStr">
        <is>
          <t>Debe estar compostada; riesgo de quemar raíces</t>
        </is>
      </c>
      <c r="G12" t="inlineStr">
        <is>
          <t>Sí</t>
        </is>
      </c>
      <c r="H12" t="inlineStr">
        <is>
          <t>Solo compostada</t>
        </is>
      </c>
      <c r="I12" t="inlineStr">
        <is>
          <t>Vegetativo / recuperación</t>
        </is>
      </c>
      <c r="J12" t="n">
        <v>90</v>
      </c>
    </row>
    <row r="13">
      <c r="A13" t="inlineStr">
        <is>
          <t>INS_YARAMILA</t>
        </is>
      </c>
      <c r="B13" t="inlineStr">
        <is>
          <t>YaraMila</t>
        </is>
      </c>
      <c r="C13" t="inlineStr">
        <is>
          <t>Abono tierra</t>
        </is>
      </c>
      <c r="D13" t="inlineStr">
        <is>
          <t>Sí</t>
        </is>
      </c>
      <c r="E13" t="inlineStr">
        <is>
          <t>Fertilización granulada de suelo</t>
        </is>
      </c>
      <c r="F13" t="inlineStr">
        <is>
          <t>Usar dosis controlada; evitar excesos de nitrógeno</t>
        </is>
      </c>
      <c r="G13" t="inlineStr">
        <is>
          <t>No</t>
        </is>
      </c>
      <c r="H13" t="inlineStr">
        <is>
          <t>Según tamaño de árbol</t>
        </is>
      </c>
      <c r="I13" t="inlineStr">
        <is>
          <t>Floración / postcosecha / vegetativo</t>
        </is>
      </c>
      <c r="J13" t="n">
        <v>45</v>
      </c>
    </row>
    <row r="14">
      <c r="A14" t="inlineStr">
        <is>
          <t>INS_CALCIO_BORO</t>
        </is>
      </c>
      <c r="B14" t="inlineStr">
        <is>
          <t>Calcio Boro</t>
        </is>
      </c>
      <c r="C14" t="inlineStr">
        <is>
          <t>Abono foliar</t>
        </is>
      </c>
      <c r="D14" t="inlineStr">
        <is>
          <t>Sí</t>
        </is>
      </c>
      <c r="E14" t="inlineStr">
        <is>
          <t>Floración, cuajado y llenado temprano</t>
        </is>
      </c>
      <c r="F14" t="inlineStr">
        <is>
          <t>Aplicar temprano/tarde; no mezclar sin validar</t>
        </is>
      </c>
      <c r="G14" t="inlineStr">
        <is>
          <t>No</t>
        </is>
      </c>
      <c r="H14" t="inlineStr">
        <is>
          <t>Según etiqueta</t>
        </is>
      </c>
      <c r="I14" t="inlineStr">
        <is>
          <t>Floración / cuajado / llenado temprano</t>
        </is>
      </c>
      <c r="J14" t="n">
        <v>15</v>
      </c>
    </row>
    <row r="15">
      <c r="A15" t="inlineStr">
        <is>
          <t>INS_MULTIMINERAL</t>
        </is>
      </c>
      <c r="B15" t="inlineStr">
        <is>
          <t>Multimineral</t>
        </is>
      </c>
      <c r="C15" t="inlineStr">
        <is>
          <t>Abono foliar</t>
        </is>
      </c>
      <c r="D15" t="inlineStr">
        <is>
          <t>Sí</t>
        </is>
      </c>
      <c r="E15" t="inlineStr">
        <is>
          <t>Corrección/apoyo nutricional foliar</t>
        </is>
      </c>
      <c r="F15" t="inlineStr">
        <is>
          <t>Respetar dosis; evitar estrés fuerte</t>
        </is>
      </c>
      <c r="G15" t="inlineStr">
        <is>
          <t>No</t>
        </is>
      </c>
      <c r="H15" t="inlineStr">
        <is>
          <t>Según etiqueta</t>
        </is>
      </c>
      <c r="I15" t="inlineStr">
        <is>
          <t>Vegetativo / recuperación</t>
        </is>
      </c>
      <c r="J15" t="n">
        <v>21</v>
      </c>
    </row>
    <row r="16">
      <c r="A16" t="inlineStr">
        <is>
          <t>INS_FOLIAR_7425</t>
        </is>
      </c>
      <c r="B16" t="inlineStr">
        <is>
          <t>Foliar 7-4-25</t>
        </is>
      </c>
      <c r="C16" t="inlineStr">
        <is>
          <t>Abono foliar</t>
        </is>
      </c>
      <c r="D16" t="inlineStr">
        <is>
          <t>Sí</t>
        </is>
      </c>
      <c r="E16" t="inlineStr">
        <is>
          <t>Apoyo potasio/foliar en desarrollo y llenado</t>
        </is>
      </c>
      <c r="F16" t="inlineStr">
        <is>
          <t>Usar según etapa; evitar exceso</t>
        </is>
      </c>
      <c r="G16" t="inlineStr">
        <is>
          <t>No</t>
        </is>
      </c>
      <c r="H16" t="inlineStr">
        <is>
          <t>Según etiqueta</t>
        </is>
      </c>
      <c r="I16" t="inlineStr">
        <is>
          <t>Llenado / desarrollo</t>
        </is>
      </c>
      <c r="J16" t="n">
        <v>21</v>
      </c>
    </row>
    <row r="17">
      <c r="A17" t="inlineStr">
        <is>
          <t>INS_PAS80</t>
        </is>
      </c>
      <c r="B17" t="inlineStr">
        <is>
          <t>PAS-80</t>
        </is>
      </c>
      <c r="C17" t="inlineStr">
        <is>
          <t>Coadyuvante</t>
        </is>
      </c>
      <c r="D17" t="inlineStr">
        <is>
          <t>Sí</t>
        </is>
      </c>
      <c r="E17" t="inlineStr">
        <is>
          <t>Mejorar adherencia/cobertura de aplicaciones foliares</t>
        </is>
      </c>
      <c r="F17" t="inlineStr">
        <is>
          <t>Usar dosis baja según etiqueta</t>
        </is>
      </c>
      <c r="G17" t="inlineStr">
        <is>
          <t>No</t>
        </is>
      </c>
      <c r="H17" t="inlineStr">
        <is>
          <t>Según etiqueta</t>
        </is>
      </c>
      <c r="I17" t="inlineStr">
        <is>
          <t>Coadyuvante en aplicaciones foliares</t>
        </is>
      </c>
      <c r="J17" t="n">
        <v>0</v>
      </c>
    </row>
    <row r="18">
      <c r="A18" t="inlineStr">
        <is>
          <t>INS_TIERRA_ABONADA</t>
        </is>
      </c>
      <c r="B18" t="inlineStr">
        <is>
          <t>Tierra abonada</t>
        </is>
      </c>
      <c r="C18" t="inlineStr">
        <is>
          <t>Abono tierra</t>
        </is>
      </c>
      <c r="D18" t="inlineStr">
        <is>
          <t>Sí</t>
        </is>
      </c>
      <c r="E18" t="inlineStr">
        <is>
          <t>Mejora de suelo, corona de árboles y soporte de trasplantes</t>
        </is>
      </c>
      <c r="F18" t="inlineStr">
        <is>
          <t>No cubrir el cuello del tronco; aplicar como capa superficial</t>
        </is>
      </c>
      <c r="G18" t="inlineStr">
        <is>
          <t>No</t>
        </is>
      </c>
      <c r="H18" t="inlineStr">
        <is>
          <t>Según corona/cama</t>
        </is>
      </c>
      <c r="I18" t="inlineStr">
        <is>
          <t>Establecimiento / recuperación / postcosecha</t>
        </is>
      </c>
      <c r="J18" t="n">
        <v>90</v>
      </c>
    </row>
    <row r="19">
      <c r="A19" t="inlineStr">
        <is>
          <t>INS_CARBON</t>
        </is>
      </c>
      <c r="B19" t="inlineStr">
        <is>
          <t>Carbón</t>
        </is>
      </c>
      <c r="C19" t="inlineStr">
        <is>
          <t>Enmienda suelo</t>
        </is>
      </c>
      <c r="D19" t="inlineStr">
        <is>
          <t>Sí</t>
        </is>
      </c>
      <c r="E19" t="inlineStr">
        <is>
          <t>Mejora de estructura y retención; uso moderado tipo biochar</t>
        </is>
      </c>
      <c r="F19" t="inlineStr">
        <is>
          <t>Usar bien apagado/inerte; no exceder dosis</t>
        </is>
      </c>
      <c r="G19" t="inlineStr">
        <is>
          <t>No</t>
        </is>
      </c>
      <c r="H19" t="inlineStr">
        <is>
          <t>Baja dosis mezclada</t>
        </is>
      </c>
      <c r="I19" t="inlineStr">
        <is>
          <t>Preparación de suelo</t>
        </is>
      </c>
      <c r="J19" t="n">
        <v>180</v>
      </c>
    </row>
    <row r="20">
      <c r="A20" t="inlineStr">
        <is>
          <t>INS_GRANZA_ARROZ</t>
        </is>
      </c>
      <c r="B20" t="inlineStr">
        <is>
          <t>Granza de arroz</t>
        </is>
      </c>
      <c r="C20" t="inlineStr">
        <is>
          <t>Cobertura / enmienda</t>
        </is>
      </c>
      <c r="D20" t="inlineStr">
        <is>
          <t>Sí</t>
        </is>
      </c>
      <c r="E20" t="inlineStr">
        <is>
          <t>Cobertura ligera y mejora de aireación</t>
        </is>
      </c>
      <c r="F20" t="inlineStr">
        <is>
          <t>No pegar al tronco; vigilar hongos o exceso de humedad</t>
        </is>
      </c>
      <c r="G20" t="inlineStr">
        <is>
          <t>No</t>
        </is>
      </c>
      <c r="H20" t="inlineStr">
        <is>
          <t>Capa superficial fina</t>
        </is>
      </c>
      <c r="I20" t="inlineStr">
        <is>
          <t>Cobertura / camas / coronas</t>
        </is>
      </c>
      <c r="J20" t="n">
        <v>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9" min="1" max="1"/>
    <col width="13" customWidth="1" style="19" min="2" max="2"/>
    <col width="10" customWidth="1" style="19" min="3" max="3"/>
    <col width="28" customWidth="1" style="19" min="4" max="4"/>
    <col width="10" customWidth="1" style="19" min="5" max="5"/>
    <col width="19" customWidth="1" style="19" min="6" max="6"/>
    <col width="12" customWidth="1" style="19" min="7" max="7"/>
    <col width="18" customWidth="1" style="19" min="8" max="8"/>
    <col width="23" customWidth="1" style="19" min="9" max="9"/>
    <col width="28" customWidth="1" style="19" min="10" max="10"/>
  </cols>
  <sheetData>
    <row r="1">
      <c r="A1" s="25" t="inlineStr">
        <is>
          <t>Arbol_ID</t>
        </is>
      </c>
      <c r="B1" s="25" t="inlineStr">
        <is>
          <t>Finca_ID</t>
        </is>
      </c>
      <c r="C1" s="25" t="inlineStr">
        <is>
          <t>Finca</t>
        </is>
      </c>
      <c r="D1" s="25" t="inlineStr">
        <is>
          <t>Arbol</t>
        </is>
      </c>
      <c r="E1" s="25" t="inlineStr">
        <is>
          <t>Icono</t>
        </is>
      </c>
      <c r="F1" s="25" t="inlineStr">
        <is>
          <t>Estado_Fenologico</t>
        </is>
      </c>
      <c r="G1" s="25" t="inlineStr">
        <is>
          <t>Trasplante</t>
        </is>
      </c>
      <c r="H1" s="25" t="inlineStr">
        <is>
          <t>Estado_Sanitario</t>
        </is>
      </c>
      <c r="I1" s="25" t="inlineStr">
        <is>
          <t>Evento_Agricola</t>
        </is>
      </c>
      <c r="J1" s="25" t="inlineStr">
        <is>
          <t>Notas</t>
        </is>
      </c>
    </row>
    <row r="2">
      <c r="A2" t="inlineStr">
        <is>
          <t>ARB_ANONA_FRAILES</t>
        </is>
      </c>
      <c r="B2" t="inlineStr">
        <is>
          <t>FIN_FRAILES</t>
        </is>
      </c>
      <c r="C2" t="inlineStr">
        <is>
          <t>Frailes</t>
        </is>
      </c>
      <c r="D2" t="inlineStr">
        <is>
          <t>Anona</t>
        </is>
      </c>
      <c r="E2" t="inlineStr">
        <is>
          <t>🍈</t>
        </is>
      </c>
      <c r="F2" t="inlineStr">
        <is>
          <t>Recuperación</t>
        </is>
      </c>
      <c r="G2" s="26" t="inlineStr">
        <is>
          <t>N/A</t>
        </is>
      </c>
      <c r="H2" t="inlineStr">
        <is>
          <t>Estrés</t>
        </is>
      </c>
      <c r="I2" t="inlineStr">
        <is>
          <t>Control fitosanitario</t>
        </is>
      </c>
      <c r="J2" t="inlineStr">
        <is>
          <t>Defoliación/recuperación</t>
        </is>
      </c>
    </row>
    <row r="3">
      <c r="A3" t="inlineStr">
        <is>
          <t>ARB_BANANO_FRAILES</t>
        </is>
      </c>
      <c r="B3" t="inlineStr">
        <is>
          <t>FIN_FRAILES</t>
        </is>
      </c>
      <c r="C3" t="inlineStr">
        <is>
          <t>Frailes</t>
        </is>
      </c>
      <c r="D3" t="inlineStr">
        <is>
          <t>Banano</t>
        </is>
      </c>
      <c r="E3" t="inlineStr">
        <is>
          <t>🍌</t>
        </is>
      </c>
      <c r="F3" t="inlineStr">
        <is>
          <t>Vegetativo</t>
        </is>
      </c>
      <c r="G3" s="26" t="inlineStr">
        <is>
          <t>N/A</t>
        </is>
      </c>
      <c r="H3" t="inlineStr">
        <is>
          <t>Bueno</t>
        </is>
      </c>
      <c r="I3" t="inlineStr">
        <is>
          <t>Ver EventosAgricolas</t>
        </is>
      </c>
      <c r="J3" t="inlineStr">
        <is>
          <t>Maximizar llenado y escalonar cosecha; No perforar pseudotallo, mantener 3 tallos activos y de distinto tamaño</t>
        </is>
      </c>
    </row>
    <row r="4">
      <c r="A4" t="inlineStr">
        <is>
          <t>ARB_CARAMBOLA_FRAILES</t>
        </is>
      </c>
      <c r="B4" t="inlineStr">
        <is>
          <t>FIN_FRAILES</t>
        </is>
      </c>
      <c r="C4" t="inlineStr">
        <is>
          <t>Frailes</t>
        </is>
      </c>
      <c r="D4" t="inlineStr">
        <is>
          <t>Carambola</t>
        </is>
      </c>
      <c r="E4" t="inlineStr">
        <is>
          <t>⭐</t>
        </is>
      </c>
      <c r="F4" t="inlineStr">
        <is>
          <t>Vegetativo</t>
        </is>
      </c>
      <c r="G4" s="26" t="inlineStr">
        <is>
          <t>Jul 2025</t>
        </is>
      </c>
      <c r="H4" t="inlineStr">
        <is>
          <t>Bueno</t>
        </is>
      </c>
      <c r="I4" t="inlineStr">
        <is>
          <t>Ver EventosAgricolas</t>
        </is>
      </c>
      <c r="J4" t="inlineStr">
        <is>
          <t>Crecimiento; Sensible al frío</t>
        </is>
      </c>
    </row>
    <row r="5">
      <c r="A5" t="inlineStr">
        <is>
          <t>ARB_CAS_FRAILES</t>
        </is>
      </c>
      <c r="B5" t="inlineStr">
        <is>
          <t>FIN_FRAILES</t>
        </is>
      </c>
      <c r="C5" t="inlineStr">
        <is>
          <t>Frailes</t>
        </is>
      </c>
      <c r="D5" t="inlineStr">
        <is>
          <t>Cas</t>
        </is>
      </c>
      <c r="E5" t="inlineStr">
        <is>
          <t>🟡</t>
        </is>
      </c>
      <c r="F5" t="inlineStr">
        <is>
          <t>Cuaje</t>
        </is>
      </c>
      <c r="G5" s="26" t="inlineStr">
        <is>
          <t>N/A</t>
        </is>
      </c>
      <c r="H5" t="inlineStr">
        <is>
          <t>Bueno</t>
        </is>
      </c>
      <c r="I5" t="inlineStr">
        <is>
          <t>Ver EventosAgricolas</t>
        </is>
      </c>
      <c r="J5" t="inlineStr">
        <is>
          <t>Bajar vigor y estimular floración; Mucha hoja y poca fruta, necesita luz interna</t>
        </is>
      </c>
    </row>
    <row r="6">
      <c r="A6" t="inlineStr">
        <is>
          <t>ARB_DURAZNO_FRAILES</t>
        </is>
      </c>
      <c r="B6" t="inlineStr">
        <is>
          <t>FIN_FRAILES</t>
        </is>
      </c>
      <c r="C6" t="inlineStr">
        <is>
          <t>Frailes</t>
        </is>
      </c>
      <c r="D6" t="inlineStr">
        <is>
          <t>Durazno</t>
        </is>
      </c>
      <c r="E6" t="inlineStr">
        <is>
          <t>🍑</t>
        </is>
      </c>
      <c r="F6" t="inlineStr">
        <is>
          <t>Vegetativo</t>
        </is>
      </c>
      <c r="G6" s="26" t="inlineStr">
        <is>
          <t>N/A</t>
        </is>
      </c>
      <c r="H6" t="inlineStr">
        <is>
          <t>Bueno</t>
        </is>
      </c>
      <c r="I6" t="inlineStr">
        <is>
          <t>Poda</t>
        </is>
      </c>
    </row>
    <row r="7">
      <c r="A7" t="inlineStr">
        <is>
          <t>ARB_GUANABANA_FRAILES</t>
        </is>
      </c>
      <c r="B7" t="inlineStr">
        <is>
          <t>FIN_FRAILES</t>
        </is>
      </c>
      <c r="C7" t="inlineStr">
        <is>
          <t>Frailes</t>
        </is>
      </c>
      <c r="D7" t="inlineStr">
        <is>
          <t>Guanábana</t>
        </is>
      </c>
      <c r="E7" t="inlineStr">
        <is>
          <t>🍈</t>
        </is>
      </c>
      <c r="F7" t="inlineStr">
        <is>
          <t>Fructificación</t>
        </is>
      </c>
      <c r="G7" s="26" t="inlineStr">
        <is>
          <t>N/A</t>
        </is>
      </c>
      <c r="H7" t="inlineStr">
        <is>
          <t>Atención</t>
        </is>
      </c>
      <c r="I7" t="inlineStr">
        <is>
          <t>Control fitosanitario</t>
        </is>
      </c>
      <c r="J7" t="inlineStr">
        <is>
          <t>Puntos negros en frutos</t>
        </is>
      </c>
    </row>
    <row r="8">
      <c r="A8" t="inlineStr">
        <is>
          <t>ARB_GUAYABA_FRAILES</t>
        </is>
      </c>
      <c r="B8" t="inlineStr">
        <is>
          <t>FIN_FRAILES</t>
        </is>
      </c>
      <c r="C8" t="inlineStr">
        <is>
          <t>Frailes</t>
        </is>
      </c>
      <c r="D8" t="inlineStr">
        <is>
          <t>Guayaba</t>
        </is>
      </c>
      <c r="E8" t="inlineStr">
        <is>
          <t>🍐</t>
        </is>
      </c>
      <c r="F8" t="inlineStr">
        <is>
          <t>Floración</t>
        </is>
      </c>
      <c r="G8" s="26" t="inlineStr">
        <is>
          <t>N/A</t>
        </is>
      </c>
      <c r="H8" t="inlineStr">
        <is>
          <t>Bueno</t>
        </is>
      </c>
      <c r="I8" t="inlineStr">
        <is>
          <t>Abono tierra</t>
        </is>
      </c>
      <c r="J8" t="inlineStr">
        <is>
          <t>Diferente a Guayabita del Perú</t>
        </is>
      </c>
    </row>
    <row r="9">
      <c r="A9" t="inlineStr">
        <is>
          <t>ARB_GUAYABA_ROJA_FRAILES</t>
        </is>
      </c>
      <c r="B9" t="inlineStr">
        <is>
          <t>FIN_FRAILES</t>
        </is>
      </c>
      <c r="C9" t="inlineStr">
        <is>
          <t>Frailes</t>
        </is>
      </c>
      <c r="D9" t="inlineStr">
        <is>
          <t>Guayaba roja</t>
        </is>
      </c>
      <c r="E9" t="inlineStr">
        <is>
          <t>🍐</t>
        </is>
      </c>
      <c r="F9" t="inlineStr">
        <is>
          <t>Floración</t>
        </is>
      </c>
      <c r="G9" s="26" t="inlineStr">
        <is>
          <t>N/A</t>
        </is>
      </c>
      <c r="H9" t="inlineStr">
        <is>
          <t>Bueno</t>
        </is>
      </c>
      <c r="I9" t="inlineStr">
        <is>
          <t>Ver EventosAgricolas</t>
        </is>
      </c>
      <c r="J9" t="inlineStr">
        <is>
          <t>Mantener alta producción; Muy adaptada a Frailes</t>
        </is>
      </c>
    </row>
    <row r="10">
      <c r="A10" t="inlineStr">
        <is>
          <t>ARB_HIGO_FRAILES</t>
        </is>
      </c>
      <c r="B10" t="inlineStr">
        <is>
          <t>FIN_FRAILES</t>
        </is>
      </c>
      <c r="C10" t="inlineStr">
        <is>
          <t>Frailes</t>
        </is>
      </c>
      <c r="D10" t="inlineStr">
        <is>
          <t>Higo</t>
        </is>
      </c>
      <c r="E10" t="inlineStr">
        <is>
          <t>🟣</t>
        </is>
      </c>
      <c r="F10" t="inlineStr">
        <is>
          <t>Establecimiento</t>
        </is>
      </c>
      <c r="G10" s="26" t="inlineStr">
        <is>
          <t>Jul 2025</t>
        </is>
      </c>
      <c r="H10" t="inlineStr">
        <is>
          <t>Bueno</t>
        </is>
      </c>
      <c r="I10" t="inlineStr">
        <is>
          <t>Abono tierra</t>
        </is>
      </c>
      <c r="J10" t="inlineStr">
        <is>
          <t>Nuevo; comparte fecha de trasplante de cítricos/yupón/carambola</t>
        </is>
      </c>
    </row>
    <row r="11">
      <c r="A11" t="inlineStr">
        <is>
          <t>ARB_JOCOTE_FRAILES</t>
        </is>
      </c>
      <c r="B11" t="inlineStr">
        <is>
          <t>FIN_FRAILES</t>
        </is>
      </c>
      <c r="C11" t="inlineStr">
        <is>
          <t>Frailes</t>
        </is>
      </c>
      <c r="D11" t="inlineStr">
        <is>
          <t>Jocote</t>
        </is>
      </c>
      <c r="E11" t="inlineStr">
        <is>
          <t>🔴</t>
        </is>
      </c>
      <c r="F11" t="inlineStr">
        <is>
          <t>Vegetativo</t>
        </is>
      </c>
      <c r="G11" s="26" t="inlineStr">
        <is>
          <t>N/A</t>
        </is>
      </c>
      <c r="H11" t="inlineStr">
        <is>
          <t>Bueno</t>
        </is>
      </c>
      <c r="I11" t="inlineStr">
        <is>
          <t>Ver EventosAgricolas</t>
        </is>
      </c>
      <c r="J11" t="inlineStr">
        <is>
          <t>Estimular floración en madera madura; Florece mejor con estrés leve y ramas maduras</t>
        </is>
      </c>
    </row>
    <row r="12">
      <c r="A12" t="inlineStr">
        <is>
          <t>ARB_LIMON_DULCE_FRAILES</t>
        </is>
      </c>
      <c r="B12" t="inlineStr">
        <is>
          <t>FIN_FRAILES</t>
        </is>
      </c>
      <c r="C12" t="inlineStr">
        <is>
          <t>Frailes</t>
        </is>
      </c>
      <c r="D12" t="inlineStr">
        <is>
          <t>Limón dulce</t>
        </is>
      </c>
      <c r="E12" t="inlineStr">
        <is>
          <t>🍋</t>
        </is>
      </c>
      <c r="F12" t="inlineStr">
        <is>
          <t>Vegetativo</t>
        </is>
      </c>
      <c r="G12" s="26" t="inlineStr">
        <is>
          <t>Jul 2025</t>
        </is>
      </c>
      <c r="H12" t="inlineStr">
        <is>
          <t>Bueno</t>
        </is>
      </c>
      <c r="I12" t="inlineStr">
        <is>
          <t>Abono tierra</t>
        </is>
      </c>
      <c r="J12" t="inlineStr">
        <is>
          <t>Trasplante 2025</t>
        </is>
      </c>
    </row>
    <row r="13">
      <c r="A13" t="inlineStr">
        <is>
          <t>ARB_LIMON_MANDARINA_FRAILES</t>
        </is>
      </c>
      <c r="B13" t="inlineStr">
        <is>
          <t>FIN_FRAILES</t>
        </is>
      </c>
      <c r="C13" t="inlineStr">
        <is>
          <t>Frailes</t>
        </is>
      </c>
      <c r="D13" t="inlineStr">
        <is>
          <t>Limón mandarina</t>
        </is>
      </c>
      <c r="E13" t="inlineStr">
        <is>
          <t>🟢🍋</t>
        </is>
      </c>
      <c r="F13" t="inlineStr">
        <is>
          <t>Vegetativo</t>
        </is>
      </c>
      <c r="G13" s="26" t="inlineStr">
        <is>
          <t>Jul 2025</t>
        </is>
      </c>
      <c r="H13" t="inlineStr">
        <is>
          <t>Bueno</t>
        </is>
      </c>
      <c r="I13" t="inlineStr">
        <is>
          <t>Abono tierra</t>
        </is>
      </c>
      <c r="J13" t="inlineStr">
        <is>
          <t>Trasplante 2025</t>
        </is>
      </c>
    </row>
    <row r="14">
      <c r="A14" t="inlineStr">
        <is>
          <t>ARB_LIMON_MANDARINA_INJERTADO_FRAILES</t>
        </is>
      </c>
      <c r="B14" t="inlineStr">
        <is>
          <t>FIN_FRAILES</t>
        </is>
      </c>
      <c r="C14" t="inlineStr">
        <is>
          <t>Frailes</t>
        </is>
      </c>
      <c r="D14" t="inlineStr">
        <is>
          <t>Limón mandarina injertado</t>
        </is>
      </c>
      <c r="E14" t="inlineStr">
        <is>
          <t>🟢🍋</t>
        </is>
      </c>
      <c r="F14" t="inlineStr">
        <is>
          <t>Establecimiento</t>
        </is>
      </c>
      <c r="G14" s="26" t="inlineStr">
        <is>
          <t>Jul 2025</t>
        </is>
      </c>
      <c r="H14" t="inlineStr">
        <is>
          <t>Bueno</t>
        </is>
      </c>
      <c r="I14" t="inlineStr">
        <is>
          <t>Ver EventosAgricolas</t>
        </is>
      </c>
      <c r="J14" t="inlineStr">
        <is>
          <t>Formación; No dejar que la carga frene estructura</t>
        </is>
      </c>
    </row>
    <row r="15">
      <c r="A15" t="inlineStr">
        <is>
          <t>ARB_LIMON_MESINO_FRAILES</t>
        </is>
      </c>
      <c r="B15" t="inlineStr">
        <is>
          <t>FIN_FRAILES</t>
        </is>
      </c>
      <c r="C15" t="inlineStr">
        <is>
          <t>Frailes</t>
        </is>
      </c>
      <c r="D15" t="inlineStr">
        <is>
          <t>Limón mesino</t>
        </is>
      </c>
      <c r="E15" t="inlineStr">
        <is>
          <t>🟢🍋</t>
        </is>
      </c>
      <c r="F15" t="inlineStr">
        <is>
          <t>Vegetativo</t>
        </is>
      </c>
      <c r="G15" s="26" t="inlineStr">
        <is>
          <t>Jul 2025</t>
        </is>
      </c>
      <c r="H15" t="inlineStr">
        <is>
          <t>Bueno</t>
        </is>
      </c>
      <c r="I15" t="inlineStr">
        <is>
          <t>Abono tierra</t>
        </is>
      </c>
      <c r="J15" t="inlineStr">
        <is>
          <t>Trasplante 2025</t>
        </is>
      </c>
    </row>
    <row r="16">
      <c r="A16" t="inlineStr">
        <is>
          <t>ARB_LIMON_MESINO_INJERTADO_FRAILES</t>
        </is>
      </c>
      <c r="B16" t="inlineStr">
        <is>
          <t>FIN_FRAILES</t>
        </is>
      </c>
      <c r="C16" t="inlineStr">
        <is>
          <t>Frailes</t>
        </is>
      </c>
      <c r="D16" t="inlineStr">
        <is>
          <t>Limón mesino injertado</t>
        </is>
      </c>
      <c r="E16" t="inlineStr">
        <is>
          <t>🟢🍋</t>
        </is>
      </c>
      <c r="F16" t="inlineStr">
        <is>
          <t>Establecimiento</t>
        </is>
      </c>
      <c r="G16" s="26" t="inlineStr">
        <is>
          <t>Jul 2025</t>
        </is>
      </c>
      <c r="H16" t="inlineStr">
        <is>
          <t>Bueno</t>
        </is>
      </c>
      <c r="I16" t="inlineStr">
        <is>
          <t>Ver EventosAgricolas</t>
        </is>
      </c>
      <c r="J16" t="inlineStr">
        <is>
          <t>Crecimiento; Revisar unión de injerto</t>
        </is>
      </c>
    </row>
    <row r="17">
      <c r="A17" t="inlineStr">
        <is>
          <t>ARB_MAMON_CHINO_FRAILES</t>
        </is>
      </c>
      <c r="B17" t="inlineStr">
        <is>
          <t>FIN_FRAILES</t>
        </is>
      </c>
      <c r="C17" t="inlineStr">
        <is>
          <t>Frailes</t>
        </is>
      </c>
      <c r="D17" t="inlineStr">
        <is>
          <t>Mamón chino</t>
        </is>
      </c>
      <c r="E17" t="inlineStr">
        <is>
          <t>🟤</t>
        </is>
      </c>
      <c r="F17" t="inlineStr">
        <is>
          <t>Recuperación</t>
        </is>
      </c>
      <c r="G17" s="26" t="inlineStr">
        <is>
          <t>N/A</t>
        </is>
      </c>
      <c r="H17" t="inlineStr">
        <is>
          <t>Atención</t>
        </is>
      </c>
      <c r="I17" t="inlineStr">
        <is>
          <t>Control fitosanitario</t>
        </is>
      </c>
      <c r="J17" t="inlineStr">
        <is>
          <t>Afectación por viento</t>
        </is>
      </c>
    </row>
    <row r="18">
      <c r="A18" t="inlineStr">
        <is>
          <t>ARB_MANDARINA_FRAILES</t>
        </is>
      </c>
      <c r="B18" t="inlineStr">
        <is>
          <t>FIN_FRAILES</t>
        </is>
      </c>
      <c r="C18" t="inlineStr">
        <is>
          <t>Frailes</t>
        </is>
      </c>
      <c r="D18" t="inlineStr">
        <is>
          <t>Mandarina</t>
        </is>
      </c>
      <c r="E18" t="inlineStr">
        <is>
          <t>🍊</t>
        </is>
      </c>
      <c r="F18" t="inlineStr">
        <is>
          <t>Brotes</t>
        </is>
      </c>
      <c r="G18" s="26" t="inlineStr">
        <is>
          <t>Jul 2025</t>
        </is>
      </c>
      <c r="H18" t="inlineStr">
        <is>
          <t>Bueno</t>
        </is>
      </c>
      <c r="I18" t="inlineStr">
        <is>
          <t>Abono foliar</t>
        </is>
      </c>
      <c r="J18" t="inlineStr">
        <is>
          <t>Trasplante 2025</t>
        </is>
      </c>
    </row>
    <row r="19">
      <c r="A19" t="inlineStr">
        <is>
          <t>ARB_MANDARINA_JOVEN_FRAILES</t>
        </is>
      </c>
      <c r="B19" t="inlineStr">
        <is>
          <t>FIN_FRAILES</t>
        </is>
      </c>
      <c r="C19" t="inlineStr">
        <is>
          <t>Frailes</t>
        </is>
      </c>
      <c r="D19" t="inlineStr">
        <is>
          <t>Mandarina joven</t>
        </is>
      </c>
      <c r="E19" t="inlineStr">
        <is>
          <t>🍊</t>
        </is>
      </c>
      <c r="F19" t="inlineStr">
        <is>
          <t>Establecimiento</t>
        </is>
      </c>
      <c r="G19" s="26" t="inlineStr">
        <is>
          <t>Jul 2025</t>
        </is>
      </c>
      <c r="H19" t="inlineStr">
        <is>
          <t>Bueno</t>
        </is>
      </c>
      <c r="I19" t="inlineStr">
        <is>
          <t>Ver EventosAgricolas</t>
        </is>
      </c>
      <c r="J19" t="inlineStr">
        <is>
          <t>Formación; No estrés</t>
        </is>
      </c>
    </row>
    <row r="20">
      <c r="A20" t="inlineStr">
        <is>
          <t>ARB_MANGO_ADULTO_FRAILES</t>
        </is>
      </c>
      <c r="B20" t="inlineStr">
        <is>
          <t>FIN_FRAILES</t>
        </is>
      </c>
      <c r="C20" t="inlineStr">
        <is>
          <t>Frailes</t>
        </is>
      </c>
      <c r="D20" t="inlineStr">
        <is>
          <t>Mango adulto</t>
        </is>
      </c>
      <c r="E20" t="inlineStr">
        <is>
          <t>🥭</t>
        </is>
      </c>
      <c r="F20" t="inlineStr">
        <is>
          <t>Vegetativo</t>
        </is>
      </c>
      <c r="G20" s="26" t="inlineStr">
        <is>
          <t>N/A</t>
        </is>
      </c>
      <c r="H20" t="inlineStr">
        <is>
          <t>Bueno</t>
        </is>
      </c>
      <c r="I20" t="inlineStr">
        <is>
          <t>Ver EventosAgricolas</t>
        </is>
      </c>
      <c r="J20" t="inlineStr">
        <is>
          <t>Inducir floración; No N alto nov–mar</t>
        </is>
      </c>
    </row>
    <row r="21">
      <c r="A21" t="inlineStr">
        <is>
          <t>ARB_MANGO_PELUDO_FRAILES</t>
        </is>
      </c>
      <c r="B21" t="inlineStr">
        <is>
          <t>FIN_FRAILES</t>
        </is>
      </c>
      <c r="C21" t="inlineStr">
        <is>
          <t>Frailes</t>
        </is>
      </c>
      <c r="D21" t="inlineStr">
        <is>
          <t>Mango peludo</t>
        </is>
      </c>
      <c r="E21" t="inlineStr">
        <is>
          <t>🥭</t>
        </is>
      </c>
      <c r="F21" t="inlineStr">
        <is>
          <t>Vegetativo</t>
        </is>
      </c>
      <c r="G21" s="26" t="inlineStr">
        <is>
          <t>N/A</t>
        </is>
      </c>
      <c r="H21" t="inlineStr">
        <is>
          <t>Bueno</t>
        </is>
      </c>
      <c r="I21" t="inlineStr">
        <is>
          <t>Control fitosanitario</t>
        </is>
      </c>
      <c r="J21" t="inlineStr">
        <is>
          <t>Mango 10 años</t>
        </is>
      </c>
    </row>
    <row r="22">
      <c r="A22" t="inlineStr">
        <is>
          <t>ARB_MANZANA_ROSA_FRAILES</t>
        </is>
      </c>
      <c r="B22" t="inlineStr">
        <is>
          <t>FIN_FRAILES</t>
        </is>
      </c>
      <c r="C22" t="inlineStr">
        <is>
          <t>Frailes</t>
        </is>
      </c>
      <c r="D22" t="inlineStr">
        <is>
          <t>Manzana rosa</t>
        </is>
      </c>
      <c r="E22" t="inlineStr">
        <is>
          <t>🍎</t>
        </is>
      </c>
      <c r="F22" t="inlineStr">
        <is>
          <t>Vegetativo</t>
        </is>
      </c>
      <c r="G22" s="26" t="inlineStr">
        <is>
          <t>N/A</t>
        </is>
      </c>
      <c r="H22" t="inlineStr">
        <is>
          <t>Bueno</t>
        </is>
      </c>
      <c r="I22" t="inlineStr">
        <is>
          <t>Ver EventosAgricolas</t>
        </is>
      </c>
      <c r="J22" t="inlineStr">
        <is>
          <t>Estabilizar brotes; Mantillo grueso, brotes se caen rápido</t>
        </is>
      </c>
    </row>
    <row r="23">
      <c r="A23" t="inlineStr">
        <is>
          <t>ARB_NARANJA_VALENCIA_FRAILES</t>
        </is>
      </c>
      <c r="B23" t="inlineStr">
        <is>
          <t>FIN_FRAILES</t>
        </is>
      </c>
      <c r="C23" t="inlineStr">
        <is>
          <t>Frailes</t>
        </is>
      </c>
      <c r="D23" t="inlineStr">
        <is>
          <t>Naranja Valencia</t>
        </is>
      </c>
      <c r="E23" t="inlineStr">
        <is>
          <t>🍊</t>
        </is>
      </c>
      <c r="F23" t="inlineStr">
        <is>
          <t>Vegetativo</t>
        </is>
      </c>
      <c r="G23" s="26" t="inlineStr">
        <is>
          <t>Jul 2025</t>
        </is>
      </c>
      <c r="H23" t="inlineStr">
        <is>
          <t>Bueno</t>
        </is>
      </c>
      <c r="I23" t="inlineStr">
        <is>
          <t>Abono tierra</t>
        </is>
      </c>
      <c r="J23" t="inlineStr">
        <is>
          <t>Trasplante 2025</t>
        </is>
      </c>
    </row>
    <row r="24">
      <c r="A24" t="inlineStr">
        <is>
          <t>ARB_NARANJA_VALENCIA_INJERTADA_FRAILES</t>
        </is>
      </c>
      <c r="B24" t="inlineStr">
        <is>
          <t>FIN_FRAILES</t>
        </is>
      </c>
      <c r="C24" t="inlineStr">
        <is>
          <t>Frailes</t>
        </is>
      </c>
      <c r="D24" t="inlineStr">
        <is>
          <t>Naranja Valencia injertada</t>
        </is>
      </c>
      <c r="E24" t="inlineStr">
        <is>
          <t>🍊</t>
        </is>
      </c>
      <c r="F24" t="inlineStr">
        <is>
          <t>Establecimiento</t>
        </is>
      </c>
      <c r="G24" s="26" t="inlineStr">
        <is>
          <t>Jul 2025</t>
        </is>
      </c>
      <c r="H24" t="inlineStr">
        <is>
          <t>Bueno</t>
        </is>
      </c>
      <c r="I24" t="inlineStr">
        <is>
          <t>Ver EventosAgricolas</t>
        </is>
      </c>
      <c r="J24" t="inlineStr">
        <is>
          <t>Crecimiento; Reducir carga de fruta joven</t>
        </is>
      </c>
    </row>
    <row r="25">
      <c r="A25" t="inlineStr">
        <is>
          <t>ARB_NARANJA_WASHINGTON_FRAILES</t>
        </is>
      </c>
      <c r="B25" t="inlineStr">
        <is>
          <t>FIN_FRAILES</t>
        </is>
      </c>
      <c r="C25" t="inlineStr">
        <is>
          <t>Frailes</t>
        </is>
      </c>
      <c r="D25" t="inlineStr">
        <is>
          <t>Naranja Washington</t>
        </is>
      </c>
      <c r="E25" t="inlineStr">
        <is>
          <t>🍊</t>
        </is>
      </c>
      <c r="F25" t="inlineStr">
        <is>
          <t>Vegetativo</t>
        </is>
      </c>
      <c r="G25" s="26" t="inlineStr">
        <is>
          <t>Jul 2025</t>
        </is>
      </c>
      <c r="H25" t="inlineStr">
        <is>
          <t>Bueno</t>
        </is>
      </c>
      <c r="I25" t="inlineStr">
        <is>
          <t>Abono tierra</t>
        </is>
      </c>
      <c r="J25" t="inlineStr">
        <is>
          <t>Trasplante 2025</t>
        </is>
      </c>
    </row>
    <row r="26">
      <c r="A26" t="inlineStr">
        <is>
          <t>ARB_NARANJA_WASHINGTON_ADULTA_PEQUENA_FRAILES</t>
        </is>
      </c>
      <c r="B26" t="inlineStr">
        <is>
          <t>FIN_FRAILES</t>
        </is>
      </c>
      <c r="C26" t="inlineStr">
        <is>
          <t>Frailes</t>
        </is>
      </c>
      <c r="D26" t="inlineStr">
        <is>
          <t>Naranja Washington adulta pequeña</t>
        </is>
      </c>
      <c r="E26" t="inlineStr">
        <is>
          <t>🍊</t>
        </is>
      </c>
      <c r="F26" t="inlineStr">
        <is>
          <t>Vegetativo</t>
        </is>
      </c>
      <c r="G26" s="26" t="inlineStr">
        <is>
          <t>Jul 2025</t>
        </is>
      </c>
      <c r="H26" t="inlineStr">
        <is>
          <t>Bueno</t>
        </is>
      </c>
      <c r="I26" t="inlineStr">
        <is>
          <t>Ver EventosAgricolas</t>
        </is>
      </c>
      <c r="J26" t="inlineStr">
        <is>
          <t>Estimular crecimiento; Corregir suelo ácido</t>
        </is>
      </c>
    </row>
    <row r="27">
      <c r="A27" t="inlineStr">
        <is>
          <t>ARB_NARANJA_WASHINGTON_INJERTADA_FRAILES</t>
        </is>
      </c>
      <c r="B27" t="inlineStr">
        <is>
          <t>FIN_FRAILES</t>
        </is>
      </c>
      <c r="C27" t="inlineStr">
        <is>
          <t>Frailes</t>
        </is>
      </c>
      <c r="D27" t="inlineStr">
        <is>
          <t>Naranja Washington injertada</t>
        </is>
      </c>
      <c r="E27" t="inlineStr">
        <is>
          <t>🍊</t>
        </is>
      </c>
      <c r="F27" t="inlineStr">
        <is>
          <t>Establecimiento</t>
        </is>
      </c>
      <c r="G27" s="26" t="inlineStr">
        <is>
          <t>Jul 2025</t>
        </is>
      </c>
      <c r="H27" t="inlineStr">
        <is>
          <t>Bueno</t>
        </is>
      </c>
      <c r="I27" t="inlineStr">
        <is>
          <t>Ver EventosAgricolas</t>
        </is>
      </c>
      <c r="J27" t="inlineStr">
        <is>
          <t>Raíz y estructura; Eliminar 80–100% fruta si quieres vigor</t>
        </is>
      </c>
    </row>
    <row r="28">
      <c r="A28" t="inlineStr">
        <is>
          <t>ARB_NISPERO_FRAILES</t>
        </is>
      </c>
      <c r="B28" t="inlineStr">
        <is>
          <t>FIN_FRAILES</t>
        </is>
      </c>
      <c r="C28" t="inlineStr">
        <is>
          <t>Frailes</t>
        </is>
      </c>
      <c r="D28" t="inlineStr">
        <is>
          <t>Níspero</t>
        </is>
      </c>
      <c r="E28" t="inlineStr">
        <is>
          <t>🟠</t>
        </is>
      </c>
      <c r="F28" t="inlineStr">
        <is>
          <t>Establecimiento</t>
        </is>
      </c>
      <c r="G28" s="26" t="inlineStr">
        <is>
          <t>Reciente</t>
        </is>
      </c>
      <c r="H28" t="inlineStr">
        <is>
          <t>Bueno</t>
        </is>
      </c>
      <c r="I28" t="inlineStr">
        <is>
          <t>Abono tierra</t>
        </is>
      </c>
      <c r="J28" t="inlineStr">
        <is>
          <t>Árbol joven</t>
        </is>
      </c>
    </row>
    <row r="29">
      <c r="A29" t="inlineStr">
        <is>
          <t>ARB_NISPERO_JOVEN_FRAILES</t>
        </is>
      </c>
      <c r="B29" t="inlineStr">
        <is>
          <t>FIN_FRAILES</t>
        </is>
      </c>
      <c r="C29" t="inlineStr">
        <is>
          <t>Frailes</t>
        </is>
      </c>
      <c r="D29" t="inlineStr">
        <is>
          <t>Níspero joven</t>
        </is>
      </c>
      <c r="E29" t="inlineStr">
        <is>
          <t>🟠</t>
        </is>
      </c>
      <c r="F29" t="inlineStr">
        <is>
          <t>Establecimiento</t>
        </is>
      </c>
      <c r="G29" s="26" t="inlineStr">
        <is>
          <t>N/A</t>
        </is>
      </c>
      <c r="H29" t="inlineStr">
        <is>
          <t>Bueno</t>
        </is>
      </c>
      <c r="I29" t="inlineStr">
        <is>
          <t>Ver EventosAgricolas</t>
        </is>
      </c>
      <c r="J29" t="inlineStr">
        <is>
          <t>Desarrollo radicular y estructura; Muy adaptado a altura, no cargar con fruta temprana</t>
        </is>
      </c>
    </row>
    <row r="30">
      <c r="A30" t="inlineStr">
        <is>
          <t>ARB_PLATANO_FRAILES</t>
        </is>
      </c>
      <c r="B30" t="inlineStr">
        <is>
          <t>FIN_FRAILES</t>
        </is>
      </c>
      <c r="C30" t="inlineStr">
        <is>
          <t>Frailes</t>
        </is>
      </c>
      <c r="D30" t="inlineStr">
        <is>
          <t>Plátano</t>
        </is>
      </c>
      <c r="E30" t="inlineStr">
        <is>
          <t>🍌</t>
        </is>
      </c>
      <c r="F30" t="inlineStr">
        <is>
          <t>Vegetativo</t>
        </is>
      </c>
      <c r="G30" s="26" t="inlineStr">
        <is>
          <t>N/A</t>
        </is>
      </c>
      <c r="H30" t="inlineStr">
        <is>
          <t>Bueno</t>
        </is>
      </c>
      <c r="I30" t="inlineStr">
        <is>
          <t>Ver EventosAgricolas</t>
        </is>
      </c>
      <c r="J30" t="inlineStr">
        <is>
          <t>Ciclo madre–hijo–nieta; Cortar bellota 10–15 días tras aparición, embolsar racimo, mantener 8 hojas funcionales</t>
        </is>
      </c>
    </row>
    <row r="31">
      <c r="A31" t="inlineStr">
        <is>
          <t>ARB_YUPLON_ENANO_FRAILES</t>
        </is>
      </c>
      <c r="B31" t="inlineStr">
        <is>
          <t>FIN_FRAILES</t>
        </is>
      </c>
      <c r="C31" t="inlineStr">
        <is>
          <t>Frailes</t>
        </is>
      </c>
      <c r="D31" t="inlineStr">
        <is>
          <t>Yuplon enano</t>
        </is>
      </c>
      <c r="E31" t="inlineStr">
        <is>
          <t>🟤</t>
        </is>
      </c>
      <c r="F31" t="inlineStr">
        <is>
          <t>Vegetativo</t>
        </is>
      </c>
      <c r="G31" s="26" t="inlineStr">
        <is>
          <t>Jul 2025</t>
        </is>
      </c>
      <c r="H31" t="inlineStr">
        <is>
          <t>Bueno</t>
        </is>
      </c>
      <c r="I31" t="inlineStr">
        <is>
          <t>Ver EventosAgricolas</t>
        </is>
      </c>
      <c r="J31" t="inlineStr">
        <is>
          <t>Estructura compacta; No sobrecargar temprano</t>
        </is>
      </c>
    </row>
    <row r="32">
      <c r="A32" t="inlineStr">
        <is>
          <t>ARB_GUAYABITA_DEL_PERU_MORAVIA</t>
        </is>
      </c>
      <c r="B32" t="inlineStr">
        <is>
          <t>FIN_MORAVIA</t>
        </is>
      </c>
      <c r="C32" t="inlineStr">
        <is>
          <t>Moravia</t>
        </is>
      </c>
      <c r="D32" t="inlineStr">
        <is>
          <t>Guayabita del Perú</t>
        </is>
      </c>
      <c r="E32" t="inlineStr">
        <is>
          <t>🌿</t>
        </is>
      </c>
      <c r="F32" t="inlineStr">
        <is>
          <t>Vegetativo</t>
        </is>
      </c>
      <c r="G32" s="26" t="inlineStr">
        <is>
          <t>N/A</t>
        </is>
      </c>
      <c r="H32" t="inlineStr">
        <is>
          <t>Bueno</t>
        </is>
      </c>
      <c r="I32" t="inlineStr">
        <is>
          <t>Abono tierra</t>
        </is>
      </c>
      <c r="J32" t="inlineStr">
        <is>
          <t>Guayabita del Perú está en Moravia</t>
        </is>
      </c>
    </row>
    <row r="33">
      <c r="A33" t="inlineStr">
        <is>
          <t>ARB_JABOTICABA_MORAVIA</t>
        </is>
      </c>
      <c r="B33" t="inlineStr">
        <is>
          <t>FIN_MORAVIA</t>
        </is>
      </c>
      <c r="C33" t="inlineStr">
        <is>
          <t>Moravia</t>
        </is>
      </c>
      <c r="D33" t="inlineStr">
        <is>
          <t>Jaboticaba</t>
        </is>
      </c>
      <c r="E33" t="inlineStr">
        <is>
          <t>🫐</t>
        </is>
      </c>
      <c r="F33" t="inlineStr">
        <is>
          <t>Vegetativo</t>
        </is>
      </c>
      <c r="G33" s="26" t="inlineStr">
        <is>
          <t>N/A</t>
        </is>
      </c>
      <c r="H33" t="inlineStr">
        <is>
          <t>Bueno</t>
        </is>
      </c>
      <c r="I33" t="inlineStr">
        <is>
          <t>Ver EventosAgricolas</t>
        </is>
      </c>
      <c r="J33" t="inlineStr">
        <is>
          <t>Agregado desde cambios FincaOS</t>
        </is>
      </c>
    </row>
    <row r="34">
      <c r="A34" t="inlineStr">
        <is>
          <t>ARB_LIMON_DULCE_MORAVIA</t>
        </is>
      </c>
      <c r="B34" t="inlineStr">
        <is>
          <t>FIN_MORAVIA</t>
        </is>
      </c>
      <c r="C34" t="inlineStr">
        <is>
          <t>Moravia</t>
        </is>
      </c>
      <c r="D34" t="inlineStr">
        <is>
          <t>Limón dulce</t>
        </is>
      </c>
      <c r="E34" t="inlineStr">
        <is>
          <t>🍋</t>
        </is>
      </c>
      <c r="F34" t="inlineStr">
        <is>
          <t>Vegetativo</t>
        </is>
      </c>
      <c r="G34" s="26" t="inlineStr">
        <is>
          <t>Jul 2025</t>
        </is>
      </c>
      <c r="H34" t="inlineStr">
        <is>
          <t>Bueno</t>
        </is>
      </c>
      <c r="I34" t="inlineStr">
        <is>
          <t>Ver EventosAgricolas</t>
        </is>
      </c>
      <c r="J34" t="inlineStr">
        <is>
          <t>Mantener vigor; No estrés fuerte</t>
        </is>
      </c>
    </row>
    <row r="35">
      <c r="A35" t="inlineStr">
        <is>
          <t>ARB_LIMON_MANDARINA_MORAVIA</t>
        </is>
      </c>
      <c r="B35" t="inlineStr">
        <is>
          <t>FIN_MORAVIA</t>
        </is>
      </c>
      <c r="C35" t="inlineStr">
        <is>
          <t>Moravia</t>
        </is>
      </c>
      <c r="D35" t="inlineStr">
        <is>
          <t>Limón mandarina</t>
        </is>
      </c>
      <c r="E35" t="inlineStr">
        <is>
          <t>🟢🍋</t>
        </is>
      </c>
      <c r="F35" t="inlineStr">
        <is>
          <t>Vegetativo</t>
        </is>
      </c>
      <c r="G35" s="26" t="inlineStr">
        <is>
          <t>Jul 2025</t>
        </is>
      </c>
      <c r="H35" t="inlineStr">
        <is>
          <t>Bueno</t>
        </is>
      </c>
      <c r="I35" t="inlineStr">
        <is>
          <t>Ver EventosAgricolas</t>
        </is>
      </c>
      <c r="J35" t="inlineStr">
        <is>
          <t>Producción continua; Eliminar chupones interiores</t>
        </is>
      </c>
    </row>
    <row r="36">
      <c r="A36" t="inlineStr">
        <is>
          <t>ARB_MANDARINA_MORAVIA</t>
        </is>
      </c>
      <c r="B36" t="inlineStr">
        <is>
          <t>FIN_MORAVIA</t>
        </is>
      </c>
      <c r="C36" t="inlineStr">
        <is>
          <t>Moravia</t>
        </is>
      </c>
      <c r="D36" t="inlineStr">
        <is>
          <t>Mandarina</t>
        </is>
      </c>
      <c r="E36" t="inlineStr">
        <is>
          <t>🍊</t>
        </is>
      </c>
      <c r="F36" t="inlineStr">
        <is>
          <t>Vegetativo</t>
        </is>
      </c>
      <c r="G36" s="26" t="inlineStr">
        <is>
          <t>N/A</t>
        </is>
      </c>
      <c r="H36" t="inlineStr">
        <is>
          <t>Bueno</t>
        </is>
      </c>
      <c r="I36" t="inlineStr">
        <is>
          <t>Ver EventosAgricolas</t>
        </is>
      </c>
      <c r="J36" t="inlineStr">
        <is>
          <t>Producción balanceada; No podar severo</t>
        </is>
      </c>
    </row>
    <row r="37">
      <c r="A37" t="inlineStr">
        <is>
          <t>ARB_MANZANO_TICO_MORAVIA</t>
        </is>
      </c>
      <c r="B37" t="inlineStr">
        <is>
          <t>FIN_MORAVIA</t>
        </is>
      </c>
      <c r="C37" t="inlineStr">
        <is>
          <t>Moravia</t>
        </is>
      </c>
      <c r="D37" t="inlineStr">
        <is>
          <t>Manzano tico</t>
        </is>
      </c>
      <c r="E37" t="inlineStr">
        <is>
          <t>🍎</t>
        </is>
      </c>
      <c r="F37" t="inlineStr">
        <is>
          <t>Llenado</t>
        </is>
      </c>
      <c r="G37" s="26" t="inlineStr">
        <is>
          <t>N/A</t>
        </is>
      </c>
      <c r="H37" t="inlineStr">
        <is>
          <t>Bueno</t>
        </is>
      </c>
      <c r="I37" t="inlineStr">
        <is>
          <t>Control fitosanitario</t>
        </is>
      </c>
      <c r="J37" t="inlineStr">
        <is>
          <t>Poda y manejo de chupones en seguimiento</t>
        </is>
      </c>
    </row>
    <row r="38">
      <c r="A38" t="inlineStr">
        <is>
          <t>ARB_NARANJA_WASHINGTON_MORAVIA</t>
        </is>
      </c>
      <c r="B38" t="inlineStr">
        <is>
          <t>FIN_MORAVIA</t>
        </is>
      </c>
      <c r="C38" t="inlineStr">
        <is>
          <t>Moravia</t>
        </is>
      </c>
      <c r="D38" t="inlineStr">
        <is>
          <t>Naranja Washington</t>
        </is>
      </c>
      <c r="E38" t="inlineStr">
        <is>
          <t>🍊</t>
        </is>
      </c>
      <c r="F38" t="inlineStr">
        <is>
          <t>Vegetativo</t>
        </is>
      </c>
      <c r="G38" s="26" t="inlineStr">
        <is>
          <t>N/A</t>
        </is>
      </c>
      <c r="H38" t="inlineStr">
        <is>
          <t>Bueno</t>
        </is>
      </c>
      <c r="I38" t="inlineStr">
        <is>
          <t>Ver EventosAgricolas</t>
        </is>
      </c>
      <c r="J38" t="inlineStr">
        <is>
          <t>Agregado desde cambios FincaOS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19" min="1" max="1"/>
    <col width="23" customWidth="1" style="19" min="2" max="2"/>
    <col width="20" customWidth="1" style="19" min="3" max="3"/>
    <col width="16" customWidth="1" style="19" min="4" max="4"/>
    <col width="13" customWidth="1" style="19" min="5" max="5"/>
    <col width="28" customWidth="1" style="19" min="6" max="6"/>
    <col width="28" customWidth="1" style="19" min="7" max="7"/>
    <col width="13" customWidth="1" style="19" min="8" max="8"/>
    <col width="10" customWidth="1" style="19" min="9" max="9"/>
    <col width="17" customWidth="1" style="19" min="10" max="10"/>
    <col width="16" customWidth="1" style="19" min="11" max="11"/>
    <col width="20" customWidth="1" style="19" min="12" max="12"/>
    <col width="16" customWidth="1" style="19" min="13" max="13"/>
    <col width="28" customWidth="1" style="19" min="14" max="14"/>
    <col width="20" customWidth="1" style="19" min="15" max="15"/>
    <col width="18" customWidth="1" style="19" min="16" max="16"/>
    <col width="21" customWidth="1" style="19" min="17" max="17"/>
    <col width="12" customWidth="1" style="19" min="18" max="18"/>
    <col width="28" customWidth="1" style="19" min="19" max="19"/>
  </cols>
  <sheetData>
    <row r="1">
      <c r="A1" s="25" t="inlineStr">
        <is>
          <t>ID_Evento</t>
        </is>
      </c>
      <c r="B1" s="25" t="inlineStr">
        <is>
          <t>Tipo_Evento</t>
        </is>
      </c>
      <c r="C1" s="25" t="inlineStr">
        <is>
          <t>ID_Insumo</t>
        </is>
      </c>
      <c r="D1" s="25" t="inlineStr">
        <is>
          <t>Nombre_Insumo</t>
        </is>
      </c>
      <c r="E1" s="25" t="inlineStr">
        <is>
          <t>Target_Tipo</t>
        </is>
      </c>
      <c r="F1" s="25" t="inlineStr">
        <is>
          <t>Target_ID</t>
        </is>
      </c>
      <c r="G1" s="25" t="inlineStr">
        <is>
          <t>Target_Label</t>
        </is>
      </c>
      <c r="H1" s="25" t="inlineStr">
        <is>
          <t>Finca_ID</t>
        </is>
      </c>
      <c r="I1" s="25" t="inlineStr">
        <is>
          <t>Finca</t>
        </is>
      </c>
      <c r="J1" s="25" t="inlineStr">
        <is>
          <t>Unidad_ID</t>
        </is>
      </c>
      <c r="K1" s="25" t="inlineStr">
        <is>
          <t>Unidad</t>
        </is>
      </c>
      <c r="L1" s="25" t="inlineStr">
        <is>
          <t>Cultivo_ID</t>
        </is>
      </c>
      <c r="M1" s="25" t="inlineStr">
        <is>
          <t>Cultivo</t>
        </is>
      </c>
      <c r="N1" s="25" t="inlineStr">
        <is>
          <t>Arbol_ID</t>
        </is>
      </c>
      <c r="O1" s="25" t="inlineStr">
        <is>
          <t>Arbol</t>
        </is>
      </c>
      <c r="P1" s="25" t="inlineStr">
        <is>
          <t>Fecha_Programada</t>
        </is>
      </c>
      <c r="Q1" s="25" t="inlineStr">
        <is>
          <t>Fecha_Realizada</t>
        </is>
      </c>
      <c r="R1" s="25" t="inlineStr">
        <is>
          <t>Estado</t>
        </is>
      </c>
      <c r="S1" s="25" t="inlineStr">
        <is>
          <t>Notas</t>
        </is>
      </c>
    </row>
    <row r="2">
      <c r="A2" t="inlineStr">
        <is>
          <t>EVT_0001</t>
        </is>
      </c>
      <c r="B2" t="inlineStr">
        <is>
          <t>Abono tierra</t>
        </is>
      </c>
      <c r="C2" t="inlineStr">
        <is>
          <t>INS_YARAMILA</t>
        </is>
      </c>
      <c r="D2" t="inlineStr">
        <is>
          <t>YaraMila</t>
        </is>
      </c>
      <c r="E2" t="inlineStr">
        <is>
          <t>Cultivo</t>
        </is>
      </c>
      <c r="F2" t="inlineStr">
        <is>
          <t>SIE_FRA_001</t>
        </is>
      </c>
      <c r="G2" t="inlineStr">
        <is>
          <t>Cama Frailes 1 - Lechuga</t>
        </is>
      </c>
      <c r="H2" t="inlineStr">
        <is>
          <t>FIN_FRAILES</t>
        </is>
      </c>
      <c r="I2" t="inlineStr">
        <is>
          <t>Frailes</t>
        </is>
      </c>
      <c r="J2" t="inlineStr">
        <is>
          <t>UNI_FRA_CAMA_01</t>
        </is>
      </c>
      <c r="K2" t="inlineStr">
        <is>
          <t>Cama Frailes 1</t>
        </is>
      </c>
      <c r="L2" t="inlineStr">
        <is>
          <t>CUL_LECHUGA</t>
        </is>
      </c>
      <c r="M2" t="inlineStr">
        <is>
          <t>Lechuga</t>
        </is>
      </c>
      <c r="P2" s="26" t="n"/>
      <c r="Q2" s="26" t="n">
        <v>46164</v>
      </c>
      <c r="R2" t="inlineStr">
        <is>
          <t>Completado</t>
        </is>
      </c>
      <c r="S2" t="inlineStr">
        <is>
          <t>Abonado con YaraMila</t>
        </is>
      </c>
    </row>
    <row r="3">
      <c r="A3" t="inlineStr">
        <is>
          <t>EVT_0002</t>
        </is>
      </c>
      <c r="B3" t="inlineStr">
        <is>
          <t>Abono tierra</t>
        </is>
      </c>
      <c r="C3" t="inlineStr">
        <is>
          <t>INS_YARAMILA</t>
        </is>
      </c>
      <c r="D3" t="inlineStr">
        <is>
          <t>YaraMila</t>
        </is>
      </c>
      <c r="E3" t="inlineStr">
        <is>
          <t>Cultivo</t>
        </is>
      </c>
      <c r="F3" t="inlineStr">
        <is>
          <t>SIE_FRA_001</t>
        </is>
      </c>
      <c r="G3" t="inlineStr">
        <is>
          <t>Cama Frailes 1 - Lechuga</t>
        </is>
      </c>
      <c r="H3" t="inlineStr">
        <is>
          <t>FIN_FRAILES</t>
        </is>
      </c>
      <c r="I3" t="inlineStr">
        <is>
          <t>Frailes</t>
        </is>
      </c>
      <c r="J3" t="inlineStr">
        <is>
          <t>UNI_FRA_CAMA_01</t>
        </is>
      </c>
      <c r="K3" t="inlineStr">
        <is>
          <t>Cama Frailes 1</t>
        </is>
      </c>
      <c r="L3" t="inlineStr">
        <is>
          <t>CUL_LECHUGA</t>
        </is>
      </c>
      <c r="M3" t="inlineStr">
        <is>
          <t>Lechuga</t>
        </is>
      </c>
      <c r="P3" s="26" t="n"/>
      <c r="Q3" s="26" t="n">
        <v>46178</v>
      </c>
      <c r="R3" t="inlineStr">
        <is>
          <t>Completado</t>
        </is>
      </c>
      <c r="S3" t="inlineStr">
        <is>
          <t>Abonado con YaraMila</t>
        </is>
      </c>
    </row>
    <row r="4">
      <c r="A4" t="inlineStr">
        <is>
          <t>EVT_0003</t>
        </is>
      </c>
      <c r="B4" t="inlineStr">
        <is>
          <t>Control fitosanitario</t>
        </is>
      </c>
      <c r="C4" t="inlineStr">
        <is>
          <t>INS_MISTRAL</t>
        </is>
      </c>
      <c r="D4" t="inlineStr">
        <is>
          <t>Mistral</t>
        </is>
      </c>
      <c r="E4" t="inlineStr">
        <is>
          <t>Cultivo</t>
        </is>
      </c>
      <c r="F4" t="inlineStr">
        <is>
          <t>SIE_FRA_001</t>
        </is>
      </c>
      <c r="G4" t="inlineStr">
        <is>
          <t>Cama Frailes 1 - Lechuga</t>
        </is>
      </c>
      <c r="H4" t="inlineStr">
        <is>
          <t>FIN_FRAILES</t>
        </is>
      </c>
      <c r="I4" t="inlineStr">
        <is>
          <t>Frailes</t>
        </is>
      </c>
      <c r="J4" t="inlineStr">
        <is>
          <t>UNI_FRA_CAMA_01</t>
        </is>
      </c>
      <c r="K4" t="inlineStr">
        <is>
          <t>Cama Frailes 1</t>
        </is>
      </c>
      <c r="L4" t="inlineStr">
        <is>
          <t>CUL_LECHUGA</t>
        </is>
      </c>
      <c r="M4" t="inlineStr">
        <is>
          <t>Lechuga</t>
        </is>
      </c>
      <c r="P4" s="26" t="n"/>
      <c r="Q4" s="26" t="n">
        <v>46178</v>
      </c>
      <c r="R4" t="inlineStr">
        <is>
          <t>Completado</t>
        </is>
      </c>
      <c r="S4" t="inlineStr">
        <is>
          <t>Control fitosanitario con Mistral</t>
        </is>
      </c>
    </row>
    <row r="5">
      <c r="A5" t="inlineStr">
        <is>
          <t>EVT_0004</t>
        </is>
      </c>
      <c r="B5" t="inlineStr">
        <is>
          <t>Abono tierra</t>
        </is>
      </c>
      <c r="C5" t="inlineStr">
        <is>
          <t>INS_YARAMILA</t>
        </is>
      </c>
      <c r="D5" t="inlineStr">
        <is>
          <t>YaraMila</t>
        </is>
      </c>
      <c r="E5" t="inlineStr">
        <is>
          <t>Cultivo</t>
        </is>
      </c>
      <c r="F5" t="inlineStr">
        <is>
          <t>SIE_FRA_002</t>
        </is>
      </c>
      <c r="G5" t="inlineStr">
        <is>
          <t>Cama Frailes 1 - Acelga</t>
        </is>
      </c>
      <c r="H5" t="inlineStr">
        <is>
          <t>FIN_FRAILES</t>
        </is>
      </c>
      <c r="I5" t="inlineStr">
        <is>
          <t>Frailes</t>
        </is>
      </c>
      <c r="J5" t="inlineStr">
        <is>
          <t>UNI_FRA_CAMA_01</t>
        </is>
      </c>
      <c r="K5" t="inlineStr">
        <is>
          <t>Cama Frailes 1</t>
        </is>
      </c>
      <c r="L5" t="inlineStr">
        <is>
          <t>CUL_ACELGA</t>
        </is>
      </c>
      <c r="M5" t="inlineStr">
        <is>
          <t>Acelga</t>
        </is>
      </c>
      <c r="P5" s="26" t="n"/>
      <c r="Q5" s="26" t="n">
        <v>46164</v>
      </c>
      <c r="R5" t="inlineStr">
        <is>
          <t>Completado</t>
        </is>
      </c>
      <c r="S5" t="inlineStr">
        <is>
          <t>Abonado con YaraMila</t>
        </is>
      </c>
    </row>
    <row r="6">
      <c r="A6" t="inlineStr">
        <is>
          <t>EVT_0005</t>
        </is>
      </c>
      <c r="B6" t="inlineStr">
        <is>
          <t>Abono tierra</t>
        </is>
      </c>
      <c r="C6" t="inlineStr">
        <is>
          <t>INS_YARAMILA</t>
        </is>
      </c>
      <c r="D6" t="inlineStr">
        <is>
          <t>YaraMila</t>
        </is>
      </c>
      <c r="E6" t="inlineStr">
        <is>
          <t>Cultivo</t>
        </is>
      </c>
      <c r="F6" t="inlineStr">
        <is>
          <t>SIE_FRA_002</t>
        </is>
      </c>
      <c r="G6" t="inlineStr">
        <is>
          <t>Cama Frailes 1 - Acelga</t>
        </is>
      </c>
      <c r="H6" t="inlineStr">
        <is>
          <t>FIN_FRAILES</t>
        </is>
      </c>
      <c r="I6" t="inlineStr">
        <is>
          <t>Frailes</t>
        </is>
      </c>
      <c r="J6" t="inlineStr">
        <is>
          <t>UNI_FRA_CAMA_01</t>
        </is>
      </c>
      <c r="K6" t="inlineStr">
        <is>
          <t>Cama Frailes 1</t>
        </is>
      </c>
      <c r="L6" t="inlineStr">
        <is>
          <t>CUL_ACELGA</t>
        </is>
      </c>
      <c r="M6" t="inlineStr">
        <is>
          <t>Acelga</t>
        </is>
      </c>
      <c r="P6" s="26" t="n"/>
      <c r="Q6" s="26" t="n">
        <v>46178</v>
      </c>
      <c r="R6" t="inlineStr">
        <is>
          <t>Completado</t>
        </is>
      </c>
      <c r="S6" t="inlineStr">
        <is>
          <t>Abonado con YaraMila</t>
        </is>
      </c>
    </row>
    <row r="7">
      <c r="A7" t="inlineStr">
        <is>
          <t>EVT_0006</t>
        </is>
      </c>
      <c r="B7" t="inlineStr">
        <is>
          <t>Control fitosanitario</t>
        </is>
      </c>
      <c r="C7" t="inlineStr">
        <is>
          <t>INS_MISTRAL</t>
        </is>
      </c>
      <c r="D7" t="inlineStr">
        <is>
          <t>Mistral</t>
        </is>
      </c>
      <c r="E7" t="inlineStr">
        <is>
          <t>Cultivo</t>
        </is>
      </c>
      <c r="F7" t="inlineStr">
        <is>
          <t>SIE_FRA_002</t>
        </is>
      </c>
      <c r="G7" t="inlineStr">
        <is>
          <t>Cama Frailes 1 - Acelga</t>
        </is>
      </c>
      <c r="H7" t="inlineStr">
        <is>
          <t>FIN_FRAILES</t>
        </is>
      </c>
      <c r="I7" t="inlineStr">
        <is>
          <t>Frailes</t>
        </is>
      </c>
      <c r="J7" t="inlineStr">
        <is>
          <t>UNI_FRA_CAMA_01</t>
        </is>
      </c>
      <c r="K7" t="inlineStr">
        <is>
          <t>Cama Frailes 1</t>
        </is>
      </c>
      <c r="L7" t="inlineStr">
        <is>
          <t>CUL_ACELGA</t>
        </is>
      </c>
      <c r="M7" t="inlineStr">
        <is>
          <t>Acelga</t>
        </is>
      </c>
      <c r="P7" s="26" t="n"/>
      <c r="Q7" s="26" t="n">
        <v>46178</v>
      </c>
      <c r="R7" t="inlineStr">
        <is>
          <t>Completado</t>
        </is>
      </c>
      <c r="S7" t="inlineStr">
        <is>
          <t>Control fitosanitario con Mistral</t>
        </is>
      </c>
    </row>
    <row r="8">
      <c r="A8" t="inlineStr">
        <is>
          <t>EVT_0007</t>
        </is>
      </c>
      <c r="B8" t="inlineStr">
        <is>
          <t>Abono tierra</t>
        </is>
      </c>
      <c r="C8" t="inlineStr">
        <is>
          <t>INS_YARAMILA</t>
        </is>
      </c>
      <c r="D8" t="inlineStr">
        <is>
          <t>YaraMila</t>
        </is>
      </c>
      <c r="E8" t="inlineStr">
        <is>
          <t>Cultivo</t>
        </is>
      </c>
      <c r="F8" t="inlineStr">
        <is>
          <t>SIE_FRA_003</t>
        </is>
      </c>
      <c r="G8" t="inlineStr">
        <is>
          <t>Cama Frailes 1 - Pepino</t>
        </is>
      </c>
      <c r="H8" t="inlineStr">
        <is>
          <t>FIN_FRAILES</t>
        </is>
      </c>
      <c r="I8" t="inlineStr">
        <is>
          <t>Frailes</t>
        </is>
      </c>
      <c r="J8" t="inlineStr">
        <is>
          <t>UNI_FRA_CAMA_01</t>
        </is>
      </c>
      <c r="K8" t="inlineStr">
        <is>
          <t>Cama Frailes 1</t>
        </is>
      </c>
      <c r="L8" t="inlineStr">
        <is>
          <t>CUL_PEPINO</t>
        </is>
      </c>
      <c r="M8" t="inlineStr">
        <is>
          <t>Pepino</t>
        </is>
      </c>
      <c r="P8" s="26" t="n"/>
      <c r="Q8" s="26" t="n">
        <v>46164</v>
      </c>
      <c r="R8" t="inlineStr">
        <is>
          <t>Completado</t>
        </is>
      </c>
      <c r="S8" t="inlineStr">
        <is>
          <t>Abonado con YaraMila</t>
        </is>
      </c>
    </row>
    <row r="9">
      <c r="A9" t="inlineStr">
        <is>
          <t>EVT_0008</t>
        </is>
      </c>
      <c r="B9" t="inlineStr">
        <is>
          <t>Abono tierra</t>
        </is>
      </c>
      <c r="C9" t="inlineStr">
        <is>
          <t>INS_YARAMILA</t>
        </is>
      </c>
      <c r="D9" t="inlineStr">
        <is>
          <t>YaraMila</t>
        </is>
      </c>
      <c r="E9" t="inlineStr">
        <is>
          <t>Cultivo</t>
        </is>
      </c>
      <c r="F9" t="inlineStr">
        <is>
          <t>SIE_FRA_003</t>
        </is>
      </c>
      <c r="G9" t="inlineStr">
        <is>
          <t>Cama Frailes 1 - Pepino</t>
        </is>
      </c>
      <c r="H9" t="inlineStr">
        <is>
          <t>FIN_FRAILES</t>
        </is>
      </c>
      <c r="I9" t="inlineStr">
        <is>
          <t>Frailes</t>
        </is>
      </c>
      <c r="J9" t="inlineStr">
        <is>
          <t>UNI_FRA_CAMA_01</t>
        </is>
      </c>
      <c r="K9" t="inlineStr">
        <is>
          <t>Cama Frailes 1</t>
        </is>
      </c>
      <c r="L9" t="inlineStr">
        <is>
          <t>CUL_PEPINO</t>
        </is>
      </c>
      <c r="M9" t="inlineStr">
        <is>
          <t>Pepino</t>
        </is>
      </c>
      <c r="P9" s="26" t="n"/>
      <c r="Q9" s="26" t="n">
        <v>46178</v>
      </c>
      <c r="R9" t="inlineStr">
        <is>
          <t>Completado</t>
        </is>
      </c>
      <c r="S9" t="inlineStr">
        <is>
          <t>Abonado con YaraMila</t>
        </is>
      </c>
    </row>
    <row r="10">
      <c r="A10" t="inlineStr">
        <is>
          <t>EVT_0009</t>
        </is>
      </c>
      <c r="B10" t="inlineStr">
        <is>
          <t>Control fitosanitario</t>
        </is>
      </c>
      <c r="C10" t="inlineStr">
        <is>
          <t>INS_MISTRAL</t>
        </is>
      </c>
      <c r="D10" t="inlineStr">
        <is>
          <t>Mistral</t>
        </is>
      </c>
      <c r="E10" t="inlineStr">
        <is>
          <t>Cultivo</t>
        </is>
      </c>
      <c r="F10" t="inlineStr">
        <is>
          <t>SIE_FRA_003</t>
        </is>
      </c>
      <c r="G10" t="inlineStr">
        <is>
          <t>Cama Frailes 1 - Pepino</t>
        </is>
      </c>
      <c r="H10" t="inlineStr">
        <is>
          <t>FIN_FRAILES</t>
        </is>
      </c>
      <c r="I10" t="inlineStr">
        <is>
          <t>Frailes</t>
        </is>
      </c>
      <c r="J10" t="inlineStr">
        <is>
          <t>UNI_FRA_CAMA_01</t>
        </is>
      </c>
      <c r="K10" t="inlineStr">
        <is>
          <t>Cama Frailes 1</t>
        </is>
      </c>
      <c r="L10" t="inlineStr">
        <is>
          <t>CUL_PEPINO</t>
        </is>
      </c>
      <c r="M10" t="inlineStr">
        <is>
          <t>Pepino</t>
        </is>
      </c>
      <c r="P10" s="26" t="n"/>
      <c r="Q10" s="26" t="n">
        <v>46178</v>
      </c>
      <c r="R10" t="inlineStr">
        <is>
          <t>Completado</t>
        </is>
      </c>
      <c r="S10" t="inlineStr">
        <is>
          <t>Control fitosanitario con Mistral</t>
        </is>
      </c>
    </row>
    <row r="11">
      <c r="A11" t="inlineStr">
        <is>
          <t>EVT_0010</t>
        </is>
      </c>
      <c r="B11" t="inlineStr">
        <is>
          <t>Abono tierra</t>
        </is>
      </c>
      <c r="C11" t="inlineStr">
        <is>
          <t>INS_YARAMILA</t>
        </is>
      </c>
      <c r="D11" t="inlineStr">
        <is>
          <t>YaraMila</t>
        </is>
      </c>
      <c r="E11" t="inlineStr">
        <is>
          <t>Cultivo</t>
        </is>
      </c>
      <c r="F11" t="inlineStr">
        <is>
          <t>SIE_FRA_004</t>
        </is>
      </c>
      <c r="G11" t="inlineStr">
        <is>
          <t>Cama Frailes 1 - Sandía</t>
        </is>
      </c>
      <c r="H11" t="inlineStr">
        <is>
          <t>FIN_FRAILES</t>
        </is>
      </c>
      <c r="I11" t="inlineStr">
        <is>
          <t>Frailes</t>
        </is>
      </c>
      <c r="J11" t="inlineStr">
        <is>
          <t>UNI_FRA_CAMA_01</t>
        </is>
      </c>
      <c r="K11" t="inlineStr">
        <is>
          <t>Cama Frailes 1</t>
        </is>
      </c>
      <c r="L11" t="inlineStr">
        <is>
          <t>CUL_SANDIA</t>
        </is>
      </c>
      <c r="M11" t="inlineStr">
        <is>
          <t>Sandía</t>
        </is>
      </c>
      <c r="P11" s="26" t="n"/>
      <c r="Q11" s="26" t="n">
        <v>46164</v>
      </c>
      <c r="R11" t="inlineStr">
        <is>
          <t>Completado</t>
        </is>
      </c>
      <c r="S11" t="inlineStr">
        <is>
          <t>Abonado con YaraMila</t>
        </is>
      </c>
    </row>
    <row r="12">
      <c r="A12" t="inlineStr">
        <is>
          <t>EVT_0011</t>
        </is>
      </c>
      <c r="B12" t="inlineStr">
        <is>
          <t>Abono tierra</t>
        </is>
      </c>
      <c r="C12" t="inlineStr">
        <is>
          <t>INS_YARAMILA</t>
        </is>
      </c>
      <c r="D12" t="inlineStr">
        <is>
          <t>YaraMila</t>
        </is>
      </c>
      <c r="E12" t="inlineStr">
        <is>
          <t>Cultivo</t>
        </is>
      </c>
      <c r="F12" t="inlineStr">
        <is>
          <t>SIE_FRA_004</t>
        </is>
      </c>
      <c r="G12" t="inlineStr">
        <is>
          <t>Cama Frailes 1 - Sandía</t>
        </is>
      </c>
      <c r="H12" t="inlineStr">
        <is>
          <t>FIN_FRAILES</t>
        </is>
      </c>
      <c r="I12" t="inlineStr">
        <is>
          <t>Frailes</t>
        </is>
      </c>
      <c r="J12" t="inlineStr">
        <is>
          <t>UNI_FRA_CAMA_01</t>
        </is>
      </c>
      <c r="K12" t="inlineStr">
        <is>
          <t>Cama Frailes 1</t>
        </is>
      </c>
      <c r="L12" t="inlineStr">
        <is>
          <t>CUL_SANDIA</t>
        </is>
      </c>
      <c r="M12" t="inlineStr">
        <is>
          <t>Sandía</t>
        </is>
      </c>
      <c r="P12" s="26" t="n"/>
      <c r="Q12" s="26" t="n">
        <v>46178</v>
      </c>
      <c r="R12" t="inlineStr">
        <is>
          <t>Completado</t>
        </is>
      </c>
      <c r="S12" t="inlineStr">
        <is>
          <t>Abonado con YaraMila</t>
        </is>
      </c>
    </row>
    <row r="13">
      <c r="A13" t="inlineStr">
        <is>
          <t>EVT_0012</t>
        </is>
      </c>
      <c r="B13" t="inlineStr">
        <is>
          <t>Control fitosanitario</t>
        </is>
      </c>
      <c r="C13" t="inlineStr">
        <is>
          <t>INS_MISTRAL</t>
        </is>
      </c>
      <c r="D13" t="inlineStr">
        <is>
          <t>Mistral</t>
        </is>
      </c>
      <c r="E13" t="inlineStr">
        <is>
          <t>Cultivo</t>
        </is>
      </c>
      <c r="F13" t="inlineStr">
        <is>
          <t>SIE_FRA_004</t>
        </is>
      </c>
      <c r="G13" t="inlineStr">
        <is>
          <t>Cama Frailes 1 - Sandía</t>
        </is>
      </c>
      <c r="H13" t="inlineStr">
        <is>
          <t>FIN_FRAILES</t>
        </is>
      </c>
      <c r="I13" t="inlineStr">
        <is>
          <t>Frailes</t>
        </is>
      </c>
      <c r="J13" t="inlineStr">
        <is>
          <t>UNI_FRA_CAMA_01</t>
        </is>
      </c>
      <c r="K13" t="inlineStr">
        <is>
          <t>Cama Frailes 1</t>
        </is>
      </c>
      <c r="L13" t="inlineStr">
        <is>
          <t>CUL_SANDIA</t>
        </is>
      </c>
      <c r="M13" t="inlineStr">
        <is>
          <t>Sandía</t>
        </is>
      </c>
      <c r="P13" s="26" t="n"/>
      <c r="Q13" s="26" t="n">
        <v>46178</v>
      </c>
      <c r="R13" t="inlineStr">
        <is>
          <t>Completado</t>
        </is>
      </c>
      <c r="S13" t="inlineStr">
        <is>
          <t>Control fitosanitario con Mistral</t>
        </is>
      </c>
    </row>
    <row r="14">
      <c r="A14" t="inlineStr">
        <is>
          <t>EVT_0013</t>
        </is>
      </c>
      <c r="B14" t="inlineStr">
        <is>
          <t>Abono tierra</t>
        </is>
      </c>
      <c r="C14" t="inlineStr">
        <is>
          <t>INS_YARAMILA</t>
        </is>
      </c>
      <c r="D14" t="inlineStr">
        <is>
          <t>YaraMila</t>
        </is>
      </c>
      <c r="E14" t="inlineStr">
        <is>
          <t>Cultivo</t>
        </is>
      </c>
      <c r="F14" t="inlineStr">
        <is>
          <t>SIE_FRA_005</t>
        </is>
      </c>
      <c r="G14" t="inlineStr">
        <is>
          <t>Cama Frailes 1 - Ayote</t>
        </is>
      </c>
      <c r="H14" t="inlineStr">
        <is>
          <t>FIN_FRAILES</t>
        </is>
      </c>
      <c r="I14" t="inlineStr">
        <is>
          <t>Frailes</t>
        </is>
      </c>
      <c r="J14" t="inlineStr">
        <is>
          <t>UNI_FRA_CAMA_01</t>
        </is>
      </c>
      <c r="K14" t="inlineStr">
        <is>
          <t>Cama Frailes 1</t>
        </is>
      </c>
      <c r="L14" t="inlineStr">
        <is>
          <t>CUL_AYOTE</t>
        </is>
      </c>
      <c r="M14" t="inlineStr">
        <is>
          <t>Ayote</t>
        </is>
      </c>
      <c r="P14" s="26" t="n"/>
      <c r="Q14" s="26" t="n">
        <v>46164</v>
      </c>
      <c r="R14" t="inlineStr">
        <is>
          <t>Completado</t>
        </is>
      </c>
      <c r="S14" t="inlineStr">
        <is>
          <t>Abonado con YaraMila</t>
        </is>
      </c>
    </row>
    <row r="15">
      <c r="A15" t="inlineStr">
        <is>
          <t>EVT_0014</t>
        </is>
      </c>
      <c r="B15" t="inlineStr">
        <is>
          <t>Abono tierra</t>
        </is>
      </c>
      <c r="C15" t="inlineStr">
        <is>
          <t>INS_YARAMILA</t>
        </is>
      </c>
      <c r="D15" t="inlineStr">
        <is>
          <t>YaraMila</t>
        </is>
      </c>
      <c r="E15" t="inlineStr">
        <is>
          <t>Cultivo</t>
        </is>
      </c>
      <c r="F15" t="inlineStr">
        <is>
          <t>SIE_FRA_005</t>
        </is>
      </c>
      <c r="G15" t="inlineStr">
        <is>
          <t>Cama Frailes 1 - Ayote</t>
        </is>
      </c>
      <c r="H15" t="inlineStr">
        <is>
          <t>FIN_FRAILES</t>
        </is>
      </c>
      <c r="I15" t="inlineStr">
        <is>
          <t>Frailes</t>
        </is>
      </c>
      <c r="J15" t="inlineStr">
        <is>
          <t>UNI_FRA_CAMA_01</t>
        </is>
      </c>
      <c r="K15" t="inlineStr">
        <is>
          <t>Cama Frailes 1</t>
        </is>
      </c>
      <c r="L15" t="inlineStr">
        <is>
          <t>CUL_AYOTE</t>
        </is>
      </c>
      <c r="M15" t="inlineStr">
        <is>
          <t>Ayote</t>
        </is>
      </c>
      <c r="P15" s="26" t="n"/>
      <c r="Q15" s="26" t="n">
        <v>46178</v>
      </c>
      <c r="R15" t="inlineStr">
        <is>
          <t>Completado</t>
        </is>
      </c>
      <c r="S15" t="inlineStr">
        <is>
          <t>Abonado con YaraMila</t>
        </is>
      </c>
    </row>
    <row r="16">
      <c r="A16" t="inlineStr">
        <is>
          <t>EVT_0015</t>
        </is>
      </c>
      <c r="B16" t="inlineStr">
        <is>
          <t>Control fitosanitario</t>
        </is>
      </c>
      <c r="C16" t="inlineStr">
        <is>
          <t>INS_MISTRAL</t>
        </is>
      </c>
      <c r="D16" t="inlineStr">
        <is>
          <t>Mistral</t>
        </is>
      </c>
      <c r="E16" t="inlineStr">
        <is>
          <t>Cultivo</t>
        </is>
      </c>
      <c r="F16" t="inlineStr">
        <is>
          <t>SIE_FRA_005</t>
        </is>
      </c>
      <c r="G16" t="inlineStr">
        <is>
          <t>Cama Frailes 1 - Ayote</t>
        </is>
      </c>
      <c r="H16" t="inlineStr">
        <is>
          <t>FIN_FRAILES</t>
        </is>
      </c>
      <c r="I16" t="inlineStr">
        <is>
          <t>Frailes</t>
        </is>
      </c>
      <c r="J16" t="inlineStr">
        <is>
          <t>UNI_FRA_CAMA_01</t>
        </is>
      </c>
      <c r="K16" t="inlineStr">
        <is>
          <t>Cama Frailes 1</t>
        </is>
      </c>
      <c r="L16" t="inlineStr">
        <is>
          <t>CUL_AYOTE</t>
        </is>
      </c>
      <c r="M16" t="inlineStr">
        <is>
          <t>Ayote</t>
        </is>
      </c>
      <c r="P16" s="26" t="n"/>
      <c r="Q16" s="26" t="n">
        <v>46178</v>
      </c>
      <c r="R16" t="inlineStr">
        <is>
          <t>Completado</t>
        </is>
      </c>
      <c r="S16" t="inlineStr">
        <is>
          <t>Control fitosanitario con Mistral</t>
        </is>
      </c>
    </row>
    <row r="17">
      <c r="A17" t="inlineStr">
        <is>
          <t>EVT_0016</t>
        </is>
      </c>
      <c r="B17" t="inlineStr">
        <is>
          <t>Abono tierra</t>
        </is>
      </c>
      <c r="C17" t="inlineStr">
        <is>
          <t>INS_YARAMILA</t>
        </is>
      </c>
      <c r="D17" t="inlineStr">
        <is>
          <t>YaraMila</t>
        </is>
      </c>
      <c r="E17" t="inlineStr">
        <is>
          <t>Cultivo</t>
        </is>
      </c>
      <c r="F17" t="inlineStr">
        <is>
          <t>SIE_FRA_006</t>
        </is>
      </c>
      <c r="G17" t="inlineStr">
        <is>
          <t>Cama Frailes 1 - Albahaca</t>
        </is>
      </c>
      <c r="H17" t="inlineStr">
        <is>
          <t>FIN_FRAILES</t>
        </is>
      </c>
      <c r="I17" t="inlineStr">
        <is>
          <t>Frailes</t>
        </is>
      </c>
      <c r="J17" t="inlineStr">
        <is>
          <t>UNI_FRA_CAMA_01</t>
        </is>
      </c>
      <c r="K17" t="inlineStr">
        <is>
          <t>Cama Frailes 1</t>
        </is>
      </c>
      <c r="L17" t="inlineStr">
        <is>
          <t>CUL_ALBAHACA</t>
        </is>
      </c>
      <c r="M17" t="inlineStr">
        <is>
          <t>Albahaca</t>
        </is>
      </c>
      <c r="P17" s="26" t="n"/>
      <c r="Q17" s="26" t="n">
        <v>46164</v>
      </c>
      <c r="R17" t="inlineStr">
        <is>
          <t>Completado</t>
        </is>
      </c>
      <c r="S17" t="inlineStr">
        <is>
          <t>Abonado con YaraMila</t>
        </is>
      </c>
    </row>
    <row r="18">
      <c r="A18" t="inlineStr">
        <is>
          <t>EVT_0017</t>
        </is>
      </c>
      <c r="B18" t="inlineStr">
        <is>
          <t>Abono tierra</t>
        </is>
      </c>
      <c r="C18" t="inlineStr">
        <is>
          <t>INS_YARAMILA</t>
        </is>
      </c>
      <c r="D18" t="inlineStr">
        <is>
          <t>YaraMila</t>
        </is>
      </c>
      <c r="E18" t="inlineStr">
        <is>
          <t>Cultivo</t>
        </is>
      </c>
      <c r="F18" t="inlineStr">
        <is>
          <t>SIE_FRA_006</t>
        </is>
      </c>
      <c r="G18" t="inlineStr">
        <is>
          <t>Cama Frailes 1 - Albahaca</t>
        </is>
      </c>
      <c r="H18" t="inlineStr">
        <is>
          <t>FIN_FRAILES</t>
        </is>
      </c>
      <c r="I18" t="inlineStr">
        <is>
          <t>Frailes</t>
        </is>
      </c>
      <c r="J18" t="inlineStr">
        <is>
          <t>UNI_FRA_CAMA_01</t>
        </is>
      </c>
      <c r="K18" t="inlineStr">
        <is>
          <t>Cama Frailes 1</t>
        </is>
      </c>
      <c r="L18" t="inlineStr">
        <is>
          <t>CUL_ALBAHACA</t>
        </is>
      </c>
      <c r="M18" t="inlineStr">
        <is>
          <t>Albahaca</t>
        </is>
      </c>
      <c r="P18" s="26" t="n"/>
      <c r="Q18" s="26" t="n">
        <v>46178</v>
      </c>
      <c r="R18" t="inlineStr">
        <is>
          <t>Completado</t>
        </is>
      </c>
      <c r="S18" t="inlineStr">
        <is>
          <t>Abonado con YaraMila</t>
        </is>
      </c>
    </row>
    <row r="19">
      <c r="A19" t="inlineStr">
        <is>
          <t>EVT_0018</t>
        </is>
      </c>
      <c r="B19" t="inlineStr">
        <is>
          <t>Control fitosanitario</t>
        </is>
      </c>
      <c r="C19" t="inlineStr">
        <is>
          <t>INS_MISTRAL</t>
        </is>
      </c>
      <c r="D19" t="inlineStr">
        <is>
          <t>Mistral</t>
        </is>
      </c>
      <c r="E19" t="inlineStr">
        <is>
          <t>Cultivo</t>
        </is>
      </c>
      <c r="F19" t="inlineStr">
        <is>
          <t>SIE_FRA_006</t>
        </is>
      </c>
      <c r="G19" t="inlineStr">
        <is>
          <t>Cama Frailes 1 - Albahaca</t>
        </is>
      </c>
      <c r="H19" t="inlineStr">
        <is>
          <t>FIN_FRAILES</t>
        </is>
      </c>
      <c r="I19" t="inlineStr">
        <is>
          <t>Frailes</t>
        </is>
      </c>
      <c r="J19" t="inlineStr">
        <is>
          <t>UNI_FRA_CAMA_01</t>
        </is>
      </c>
      <c r="K19" t="inlineStr">
        <is>
          <t>Cama Frailes 1</t>
        </is>
      </c>
      <c r="L19" t="inlineStr">
        <is>
          <t>CUL_ALBAHACA</t>
        </is>
      </c>
      <c r="M19" t="inlineStr">
        <is>
          <t>Albahaca</t>
        </is>
      </c>
      <c r="P19" s="26" t="n"/>
      <c r="Q19" s="26" t="n">
        <v>46178</v>
      </c>
      <c r="R19" t="inlineStr">
        <is>
          <t>Completado</t>
        </is>
      </c>
      <c r="S19" t="inlineStr">
        <is>
          <t>Control fitosanitario con Mistral</t>
        </is>
      </c>
    </row>
    <row r="20">
      <c r="A20" t="inlineStr">
        <is>
          <t>EVT_0019</t>
        </is>
      </c>
      <c r="B20" t="inlineStr">
        <is>
          <t>Abono tierra</t>
        </is>
      </c>
      <c r="C20" t="inlineStr">
        <is>
          <t>INS_YARAMILA</t>
        </is>
      </c>
      <c r="D20" t="inlineStr">
        <is>
          <t>YaraMila</t>
        </is>
      </c>
      <c r="E20" t="inlineStr">
        <is>
          <t>Cultivo</t>
        </is>
      </c>
      <c r="F20" t="inlineStr">
        <is>
          <t>SIE_FRA_007</t>
        </is>
      </c>
      <c r="G20" t="inlineStr">
        <is>
          <t>Cama Frailes 2 - Tomate cherry</t>
        </is>
      </c>
      <c r="H20" t="inlineStr">
        <is>
          <t>FIN_FRAILES</t>
        </is>
      </c>
      <c r="I20" t="inlineStr">
        <is>
          <t>Frailes</t>
        </is>
      </c>
      <c r="J20" t="inlineStr">
        <is>
          <t>UNI_FRA_CAMA_02</t>
        </is>
      </c>
      <c r="K20" t="inlineStr">
        <is>
          <t>Cama Frailes 2</t>
        </is>
      </c>
      <c r="L20" t="inlineStr">
        <is>
          <t>CUL_TOMATE_CHERRY</t>
        </is>
      </c>
      <c r="M20" t="inlineStr">
        <is>
          <t>Tomate cherry</t>
        </is>
      </c>
      <c r="P20" s="26" t="n"/>
      <c r="Q20" s="26" t="n">
        <v>46164</v>
      </c>
      <c r="R20" t="inlineStr">
        <is>
          <t>Completado</t>
        </is>
      </c>
      <c r="S20" t="inlineStr">
        <is>
          <t>Abonado con YaraMila</t>
        </is>
      </c>
    </row>
    <row r="21">
      <c r="A21" t="inlineStr">
        <is>
          <t>EVT_0020</t>
        </is>
      </c>
      <c r="B21" t="inlineStr">
        <is>
          <t>Abono tierra</t>
        </is>
      </c>
      <c r="C21" t="inlineStr">
        <is>
          <t>INS_YARAMILA</t>
        </is>
      </c>
      <c r="D21" t="inlineStr">
        <is>
          <t>YaraMila</t>
        </is>
      </c>
      <c r="E21" t="inlineStr">
        <is>
          <t>Cultivo</t>
        </is>
      </c>
      <c r="F21" t="inlineStr">
        <is>
          <t>SIE_FRA_007</t>
        </is>
      </c>
      <c r="G21" t="inlineStr">
        <is>
          <t>Cama Frailes 2 - Tomate cherry</t>
        </is>
      </c>
      <c r="H21" t="inlineStr">
        <is>
          <t>FIN_FRAILES</t>
        </is>
      </c>
      <c r="I21" t="inlineStr">
        <is>
          <t>Frailes</t>
        </is>
      </c>
      <c r="J21" t="inlineStr">
        <is>
          <t>UNI_FRA_CAMA_02</t>
        </is>
      </c>
      <c r="K21" t="inlineStr">
        <is>
          <t>Cama Frailes 2</t>
        </is>
      </c>
      <c r="L21" t="inlineStr">
        <is>
          <t>CUL_TOMATE_CHERRY</t>
        </is>
      </c>
      <c r="M21" t="inlineStr">
        <is>
          <t>Tomate cherry</t>
        </is>
      </c>
      <c r="P21" s="26" t="n"/>
      <c r="Q21" s="26" t="n">
        <v>46178</v>
      </c>
      <c r="R21" t="inlineStr">
        <is>
          <t>Completado</t>
        </is>
      </c>
      <c r="S21" t="inlineStr">
        <is>
          <t>Abonado con YaraMila</t>
        </is>
      </c>
    </row>
    <row r="22">
      <c r="A22" t="inlineStr">
        <is>
          <t>EVT_0021</t>
        </is>
      </c>
      <c r="B22" t="inlineStr">
        <is>
          <t>Control fitosanitario</t>
        </is>
      </c>
      <c r="C22" t="inlineStr">
        <is>
          <t>INS_MISTRAL</t>
        </is>
      </c>
      <c r="D22" t="inlineStr">
        <is>
          <t>Mistral</t>
        </is>
      </c>
      <c r="E22" t="inlineStr">
        <is>
          <t>Cultivo</t>
        </is>
      </c>
      <c r="F22" t="inlineStr">
        <is>
          <t>SIE_FRA_007</t>
        </is>
      </c>
      <c r="G22" t="inlineStr">
        <is>
          <t>Cama Frailes 2 - Tomate cherry</t>
        </is>
      </c>
      <c r="H22" t="inlineStr">
        <is>
          <t>FIN_FRAILES</t>
        </is>
      </c>
      <c r="I22" t="inlineStr">
        <is>
          <t>Frailes</t>
        </is>
      </c>
      <c r="J22" t="inlineStr">
        <is>
          <t>UNI_FRA_CAMA_02</t>
        </is>
      </c>
      <c r="K22" t="inlineStr">
        <is>
          <t>Cama Frailes 2</t>
        </is>
      </c>
      <c r="L22" t="inlineStr">
        <is>
          <t>CUL_TOMATE_CHERRY</t>
        </is>
      </c>
      <c r="M22" t="inlineStr">
        <is>
          <t>Tomate cherry</t>
        </is>
      </c>
      <c r="P22" s="26" t="n"/>
      <c r="Q22" s="26" t="n">
        <v>46178</v>
      </c>
      <c r="R22" t="inlineStr">
        <is>
          <t>Completado</t>
        </is>
      </c>
      <c r="S22" t="inlineStr">
        <is>
          <t>Control fitosanitario con Mistral</t>
        </is>
      </c>
    </row>
    <row r="23">
      <c r="A23" t="inlineStr">
        <is>
          <t>EVT_0022</t>
        </is>
      </c>
      <c r="B23" t="inlineStr">
        <is>
          <t>Abono tierra</t>
        </is>
      </c>
      <c r="C23" t="inlineStr">
        <is>
          <t>INS_YARAMILA</t>
        </is>
      </c>
      <c r="D23" t="inlineStr">
        <is>
          <t>YaraMila</t>
        </is>
      </c>
      <c r="E23" t="inlineStr">
        <is>
          <t>Cultivo</t>
        </is>
      </c>
      <c r="F23" t="inlineStr">
        <is>
          <t>SIE_FRA_008</t>
        </is>
      </c>
      <c r="G23" t="inlineStr">
        <is>
          <t>Cama Frailes 2 - Culantro</t>
        </is>
      </c>
      <c r="H23" t="inlineStr">
        <is>
          <t>FIN_FRAILES</t>
        </is>
      </c>
      <c r="I23" t="inlineStr">
        <is>
          <t>Frailes</t>
        </is>
      </c>
      <c r="J23" t="inlineStr">
        <is>
          <t>UNI_FRA_CAMA_02</t>
        </is>
      </c>
      <c r="K23" t="inlineStr">
        <is>
          <t>Cama Frailes 2</t>
        </is>
      </c>
      <c r="L23" t="inlineStr">
        <is>
          <t>CUL_CULANTRO</t>
        </is>
      </c>
      <c r="M23" t="inlineStr">
        <is>
          <t>Culantro</t>
        </is>
      </c>
      <c r="P23" s="26" t="n"/>
      <c r="Q23" s="26" t="n">
        <v>46164</v>
      </c>
      <c r="R23" t="inlineStr">
        <is>
          <t>Completado</t>
        </is>
      </c>
      <c r="S23" t="inlineStr">
        <is>
          <t>Abonado con YaraMila</t>
        </is>
      </c>
    </row>
    <row r="24">
      <c r="A24" t="inlineStr">
        <is>
          <t>EVT_0023</t>
        </is>
      </c>
      <c r="B24" t="inlineStr">
        <is>
          <t>Abono tierra</t>
        </is>
      </c>
      <c r="C24" t="inlineStr">
        <is>
          <t>INS_YARAMILA</t>
        </is>
      </c>
      <c r="D24" t="inlineStr">
        <is>
          <t>YaraMila</t>
        </is>
      </c>
      <c r="E24" t="inlineStr">
        <is>
          <t>Cultivo</t>
        </is>
      </c>
      <c r="F24" t="inlineStr">
        <is>
          <t>SIE_FRA_008</t>
        </is>
      </c>
      <c r="G24" t="inlineStr">
        <is>
          <t>Cama Frailes 2 - Culantro</t>
        </is>
      </c>
      <c r="H24" t="inlineStr">
        <is>
          <t>FIN_FRAILES</t>
        </is>
      </c>
      <c r="I24" t="inlineStr">
        <is>
          <t>Frailes</t>
        </is>
      </c>
      <c r="J24" t="inlineStr">
        <is>
          <t>UNI_FRA_CAMA_02</t>
        </is>
      </c>
      <c r="K24" t="inlineStr">
        <is>
          <t>Cama Frailes 2</t>
        </is>
      </c>
      <c r="L24" t="inlineStr">
        <is>
          <t>CUL_CULANTRO</t>
        </is>
      </c>
      <c r="M24" t="inlineStr">
        <is>
          <t>Culantro</t>
        </is>
      </c>
      <c r="P24" s="26" t="n"/>
      <c r="Q24" s="26" t="n">
        <v>46178</v>
      </c>
      <c r="R24" t="inlineStr">
        <is>
          <t>Completado</t>
        </is>
      </c>
      <c r="S24" t="inlineStr">
        <is>
          <t>Abonado con YaraMila</t>
        </is>
      </c>
    </row>
    <row r="25">
      <c r="A25" t="inlineStr">
        <is>
          <t>EVT_0024</t>
        </is>
      </c>
      <c r="B25" t="inlineStr">
        <is>
          <t>Control fitosanitario</t>
        </is>
      </c>
      <c r="C25" t="inlineStr">
        <is>
          <t>INS_MISTRAL</t>
        </is>
      </c>
      <c r="D25" t="inlineStr">
        <is>
          <t>Mistral</t>
        </is>
      </c>
      <c r="E25" t="inlineStr">
        <is>
          <t>Cultivo</t>
        </is>
      </c>
      <c r="F25" t="inlineStr">
        <is>
          <t>SIE_FRA_008</t>
        </is>
      </c>
      <c r="G25" t="inlineStr">
        <is>
          <t>Cama Frailes 2 - Culantro</t>
        </is>
      </c>
      <c r="H25" t="inlineStr">
        <is>
          <t>FIN_FRAILES</t>
        </is>
      </c>
      <c r="I25" t="inlineStr">
        <is>
          <t>Frailes</t>
        </is>
      </c>
      <c r="J25" t="inlineStr">
        <is>
          <t>UNI_FRA_CAMA_02</t>
        </is>
      </c>
      <c r="K25" t="inlineStr">
        <is>
          <t>Cama Frailes 2</t>
        </is>
      </c>
      <c r="L25" t="inlineStr">
        <is>
          <t>CUL_CULANTRO</t>
        </is>
      </c>
      <c r="M25" t="inlineStr">
        <is>
          <t>Culantro</t>
        </is>
      </c>
      <c r="P25" s="26" t="n"/>
      <c r="Q25" s="26" t="n">
        <v>46178</v>
      </c>
      <c r="R25" t="inlineStr">
        <is>
          <t>Completado</t>
        </is>
      </c>
      <c r="S25" t="inlineStr">
        <is>
          <t>Control fitosanitario con Mistral</t>
        </is>
      </c>
    </row>
    <row r="26">
      <c r="A26" t="inlineStr">
        <is>
          <t>EVT_0025</t>
        </is>
      </c>
      <c r="B26" t="inlineStr">
        <is>
          <t>Abono tierra</t>
        </is>
      </c>
      <c r="C26" t="inlineStr">
        <is>
          <t>INS_YARAMILA</t>
        </is>
      </c>
      <c r="D26" t="inlineStr">
        <is>
          <t>YaraMila</t>
        </is>
      </c>
      <c r="E26" t="inlineStr">
        <is>
          <t>Cultivo</t>
        </is>
      </c>
      <c r="F26" t="inlineStr">
        <is>
          <t>SIE_FRA_009</t>
        </is>
      </c>
      <c r="G26" t="inlineStr">
        <is>
          <t>Cama Frailes 2 - Cebolla blanca</t>
        </is>
      </c>
      <c r="H26" t="inlineStr">
        <is>
          <t>FIN_FRAILES</t>
        </is>
      </c>
      <c r="I26" t="inlineStr">
        <is>
          <t>Frailes</t>
        </is>
      </c>
      <c r="J26" t="inlineStr">
        <is>
          <t>UNI_FRA_CAMA_02</t>
        </is>
      </c>
      <c r="K26" t="inlineStr">
        <is>
          <t>Cama Frailes 2</t>
        </is>
      </c>
      <c r="L26" t="inlineStr">
        <is>
          <t>CUL_CEBOLLA_BLANCA</t>
        </is>
      </c>
      <c r="M26" t="inlineStr">
        <is>
          <t>Cebolla blanca</t>
        </is>
      </c>
      <c r="P26" s="26" t="n"/>
      <c r="Q26" s="26" t="n">
        <v>46164</v>
      </c>
      <c r="R26" t="inlineStr">
        <is>
          <t>Completado</t>
        </is>
      </c>
      <c r="S26" t="inlineStr">
        <is>
          <t>Abonado con YaraMila</t>
        </is>
      </c>
    </row>
    <row r="27">
      <c r="A27" t="inlineStr">
        <is>
          <t>EVT_0026</t>
        </is>
      </c>
      <c r="B27" t="inlineStr">
        <is>
          <t>Abono tierra</t>
        </is>
      </c>
      <c r="C27" t="inlineStr">
        <is>
          <t>INS_YARAMILA</t>
        </is>
      </c>
      <c r="D27" t="inlineStr">
        <is>
          <t>YaraMila</t>
        </is>
      </c>
      <c r="E27" t="inlineStr">
        <is>
          <t>Cultivo</t>
        </is>
      </c>
      <c r="F27" t="inlineStr">
        <is>
          <t>SIE_FRA_009</t>
        </is>
      </c>
      <c r="G27" t="inlineStr">
        <is>
          <t>Cama Frailes 2 - Cebolla blanca</t>
        </is>
      </c>
      <c r="H27" t="inlineStr">
        <is>
          <t>FIN_FRAILES</t>
        </is>
      </c>
      <c r="I27" t="inlineStr">
        <is>
          <t>Frailes</t>
        </is>
      </c>
      <c r="J27" t="inlineStr">
        <is>
          <t>UNI_FRA_CAMA_02</t>
        </is>
      </c>
      <c r="K27" t="inlineStr">
        <is>
          <t>Cama Frailes 2</t>
        </is>
      </c>
      <c r="L27" t="inlineStr">
        <is>
          <t>CUL_CEBOLLA_BLANCA</t>
        </is>
      </c>
      <c r="M27" t="inlineStr">
        <is>
          <t>Cebolla blanca</t>
        </is>
      </c>
      <c r="P27" s="26" t="n"/>
      <c r="Q27" s="26" t="n">
        <v>46178</v>
      </c>
      <c r="R27" t="inlineStr">
        <is>
          <t>Completado</t>
        </is>
      </c>
      <c r="S27" t="inlineStr">
        <is>
          <t>Abonado con YaraMila</t>
        </is>
      </c>
    </row>
    <row r="28">
      <c r="A28" t="inlineStr">
        <is>
          <t>EVT_0027</t>
        </is>
      </c>
      <c r="B28" t="inlineStr">
        <is>
          <t>Control fitosanitario</t>
        </is>
      </c>
      <c r="C28" t="inlineStr">
        <is>
          <t>INS_MISTRAL</t>
        </is>
      </c>
      <c r="D28" t="inlineStr">
        <is>
          <t>Mistral</t>
        </is>
      </c>
      <c r="E28" t="inlineStr">
        <is>
          <t>Cultivo</t>
        </is>
      </c>
      <c r="F28" t="inlineStr">
        <is>
          <t>SIE_FRA_009</t>
        </is>
      </c>
      <c r="G28" t="inlineStr">
        <is>
          <t>Cama Frailes 2 - Cebolla blanca</t>
        </is>
      </c>
      <c r="H28" t="inlineStr">
        <is>
          <t>FIN_FRAILES</t>
        </is>
      </c>
      <c r="I28" t="inlineStr">
        <is>
          <t>Frailes</t>
        </is>
      </c>
      <c r="J28" t="inlineStr">
        <is>
          <t>UNI_FRA_CAMA_02</t>
        </is>
      </c>
      <c r="K28" t="inlineStr">
        <is>
          <t>Cama Frailes 2</t>
        </is>
      </c>
      <c r="L28" t="inlineStr">
        <is>
          <t>CUL_CEBOLLA_BLANCA</t>
        </is>
      </c>
      <c r="M28" t="inlineStr">
        <is>
          <t>Cebolla blanca</t>
        </is>
      </c>
      <c r="P28" s="26" t="n"/>
      <c r="Q28" s="26" t="n">
        <v>46178</v>
      </c>
      <c r="R28" t="inlineStr">
        <is>
          <t>Completado</t>
        </is>
      </c>
      <c r="S28" t="inlineStr">
        <is>
          <t>Control fitosanitario con Mistral</t>
        </is>
      </c>
    </row>
    <row r="29">
      <c r="A29" t="inlineStr">
        <is>
          <t>EVT_0028</t>
        </is>
      </c>
      <c r="B29" t="inlineStr">
        <is>
          <t>Abono tierra</t>
        </is>
      </c>
      <c r="C29" t="inlineStr">
        <is>
          <t>INS_YARAMILA</t>
        </is>
      </c>
      <c r="D29" t="inlineStr">
        <is>
          <t>YaraMila</t>
        </is>
      </c>
      <c r="E29" t="inlineStr">
        <is>
          <t>Cultivo</t>
        </is>
      </c>
      <c r="F29" t="inlineStr">
        <is>
          <t>SIE_FRA_010</t>
        </is>
      </c>
      <c r="G29" t="inlineStr">
        <is>
          <t>Cama Frailes 3 - Tomate cherry</t>
        </is>
      </c>
      <c r="H29" t="inlineStr">
        <is>
          <t>FIN_FRAILES</t>
        </is>
      </c>
      <c r="I29" t="inlineStr">
        <is>
          <t>Frailes</t>
        </is>
      </c>
      <c r="J29" t="inlineStr">
        <is>
          <t>UNI_FRA_CAMA_03</t>
        </is>
      </c>
      <c r="K29" t="inlineStr">
        <is>
          <t>Cama Frailes 3</t>
        </is>
      </c>
      <c r="L29" t="inlineStr">
        <is>
          <t>CUL_TOMATE_CHERRY</t>
        </is>
      </c>
      <c r="M29" t="inlineStr">
        <is>
          <t>Tomate cherry</t>
        </is>
      </c>
      <c r="P29" s="26" t="n"/>
      <c r="Q29" s="26" t="n">
        <v>46164</v>
      </c>
      <c r="R29" t="inlineStr">
        <is>
          <t>Completado</t>
        </is>
      </c>
      <c r="S29" t="inlineStr">
        <is>
          <t>Abonado con YaraMila</t>
        </is>
      </c>
    </row>
    <row r="30">
      <c r="A30" t="inlineStr">
        <is>
          <t>EVT_0029</t>
        </is>
      </c>
      <c r="B30" t="inlineStr">
        <is>
          <t>Abono tierra</t>
        </is>
      </c>
      <c r="C30" t="inlineStr">
        <is>
          <t>INS_YARAMILA</t>
        </is>
      </c>
      <c r="D30" t="inlineStr">
        <is>
          <t>YaraMila</t>
        </is>
      </c>
      <c r="E30" t="inlineStr">
        <is>
          <t>Cultivo</t>
        </is>
      </c>
      <c r="F30" t="inlineStr">
        <is>
          <t>SIE_FRA_010</t>
        </is>
      </c>
      <c r="G30" t="inlineStr">
        <is>
          <t>Cama Frailes 3 - Tomate cherry</t>
        </is>
      </c>
      <c r="H30" t="inlineStr">
        <is>
          <t>FIN_FRAILES</t>
        </is>
      </c>
      <c r="I30" t="inlineStr">
        <is>
          <t>Frailes</t>
        </is>
      </c>
      <c r="J30" t="inlineStr">
        <is>
          <t>UNI_FRA_CAMA_03</t>
        </is>
      </c>
      <c r="K30" t="inlineStr">
        <is>
          <t>Cama Frailes 3</t>
        </is>
      </c>
      <c r="L30" t="inlineStr">
        <is>
          <t>CUL_TOMATE_CHERRY</t>
        </is>
      </c>
      <c r="M30" t="inlineStr">
        <is>
          <t>Tomate cherry</t>
        </is>
      </c>
      <c r="P30" s="26" t="n"/>
      <c r="Q30" s="26" t="n">
        <v>46178</v>
      </c>
      <c r="R30" t="inlineStr">
        <is>
          <t>Completado</t>
        </is>
      </c>
      <c r="S30" t="inlineStr">
        <is>
          <t>Abonado con YaraMila</t>
        </is>
      </c>
    </row>
    <row r="31">
      <c r="A31" t="inlineStr">
        <is>
          <t>EVT_0030</t>
        </is>
      </c>
      <c r="B31" t="inlineStr">
        <is>
          <t>Control fitosanitario</t>
        </is>
      </c>
      <c r="C31" t="inlineStr">
        <is>
          <t>INS_MISTRAL</t>
        </is>
      </c>
      <c r="D31" t="inlineStr">
        <is>
          <t>Mistral</t>
        </is>
      </c>
      <c r="E31" t="inlineStr">
        <is>
          <t>Cultivo</t>
        </is>
      </c>
      <c r="F31" t="inlineStr">
        <is>
          <t>SIE_FRA_010</t>
        </is>
      </c>
      <c r="G31" t="inlineStr">
        <is>
          <t>Cama Frailes 3 - Tomate cherry</t>
        </is>
      </c>
      <c r="H31" t="inlineStr">
        <is>
          <t>FIN_FRAILES</t>
        </is>
      </c>
      <c r="I31" t="inlineStr">
        <is>
          <t>Frailes</t>
        </is>
      </c>
      <c r="J31" t="inlineStr">
        <is>
          <t>UNI_FRA_CAMA_03</t>
        </is>
      </c>
      <c r="K31" t="inlineStr">
        <is>
          <t>Cama Frailes 3</t>
        </is>
      </c>
      <c r="L31" t="inlineStr">
        <is>
          <t>CUL_TOMATE_CHERRY</t>
        </is>
      </c>
      <c r="M31" t="inlineStr">
        <is>
          <t>Tomate cherry</t>
        </is>
      </c>
      <c r="P31" s="26" t="n"/>
      <c r="Q31" s="26" t="n">
        <v>46178</v>
      </c>
      <c r="R31" t="inlineStr">
        <is>
          <t>Completado</t>
        </is>
      </c>
      <c r="S31" t="inlineStr">
        <is>
          <t>Control fitosanitario con Mistral</t>
        </is>
      </c>
    </row>
    <row r="32">
      <c r="A32" t="inlineStr">
        <is>
          <t>EVT_0031</t>
        </is>
      </c>
      <c r="B32" t="inlineStr">
        <is>
          <t>Abono tierra</t>
        </is>
      </c>
      <c r="C32" t="inlineStr">
        <is>
          <t>INS_YARAMILA</t>
        </is>
      </c>
      <c r="D32" t="inlineStr">
        <is>
          <t>YaraMila</t>
        </is>
      </c>
      <c r="E32" t="inlineStr">
        <is>
          <t>Cultivo</t>
        </is>
      </c>
      <c r="F32" t="inlineStr">
        <is>
          <t>SIE_FRA_011</t>
        </is>
      </c>
      <c r="G32" t="inlineStr">
        <is>
          <t>Cama Frailes 3 - Culantro</t>
        </is>
      </c>
      <c r="H32" t="inlineStr">
        <is>
          <t>FIN_FRAILES</t>
        </is>
      </c>
      <c r="I32" t="inlineStr">
        <is>
          <t>Frailes</t>
        </is>
      </c>
      <c r="J32" t="inlineStr">
        <is>
          <t>UNI_FRA_CAMA_03</t>
        </is>
      </c>
      <c r="K32" t="inlineStr">
        <is>
          <t>Cama Frailes 3</t>
        </is>
      </c>
      <c r="L32" t="inlineStr">
        <is>
          <t>CUL_CULANTRO</t>
        </is>
      </c>
      <c r="M32" t="inlineStr">
        <is>
          <t>Culantro</t>
        </is>
      </c>
      <c r="P32" s="26" t="n"/>
      <c r="Q32" s="26" t="n">
        <v>46164</v>
      </c>
      <c r="R32" t="inlineStr">
        <is>
          <t>Completado</t>
        </is>
      </c>
      <c r="S32" t="inlineStr">
        <is>
          <t>Abonado con YaraMila</t>
        </is>
      </c>
    </row>
    <row r="33">
      <c r="A33" t="inlineStr">
        <is>
          <t>EVT_0032</t>
        </is>
      </c>
      <c r="B33" t="inlineStr">
        <is>
          <t>Abono tierra</t>
        </is>
      </c>
      <c r="C33" t="inlineStr">
        <is>
          <t>INS_YARAMILA</t>
        </is>
      </c>
      <c r="D33" t="inlineStr">
        <is>
          <t>YaraMila</t>
        </is>
      </c>
      <c r="E33" t="inlineStr">
        <is>
          <t>Cultivo</t>
        </is>
      </c>
      <c r="F33" t="inlineStr">
        <is>
          <t>SIE_FRA_011</t>
        </is>
      </c>
      <c r="G33" t="inlineStr">
        <is>
          <t>Cama Frailes 3 - Culantro</t>
        </is>
      </c>
      <c r="H33" t="inlineStr">
        <is>
          <t>FIN_FRAILES</t>
        </is>
      </c>
      <c r="I33" t="inlineStr">
        <is>
          <t>Frailes</t>
        </is>
      </c>
      <c r="J33" t="inlineStr">
        <is>
          <t>UNI_FRA_CAMA_03</t>
        </is>
      </c>
      <c r="K33" t="inlineStr">
        <is>
          <t>Cama Frailes 3</t>
        </is>
      </c>
      <c r="L33" t="inlineStr">
        <is>
          <t>CUL_CULANTRO</t>
        </is>
      </c>
      <c r="M33" t="inlineStr">
        <is>
          <t>Culantro</t>
        </is>
      </c>
      <c r="P33" s="26" t="n"/>
      <c r="Q33" s="26" t="n">
        <v>46178</v>
      </c>
      <c r="R33" t="inlineStr">
        <is>
          <t>Completado</t>
        </is>
      </c>
      <c r="S33" t="inlineStr">
        <is>
          <t>Abonado con YaraMila</t>
        </is>
      </c>
    </row>
    <row r="34">
      <c r="A34" t="inlineStr">
        <is>
          <t>EVT_0033</t>
        </is>
      </c>
      <c r="B34" t="inlineStr">
        <is>
          <t>Control fitosanitario</t>
        </is>
      </c>
      <c r="C34" t="inlineStr">
        <is>
          <t>INS_MISTRAL</t>
        </is>
      </c>
      <c r="D34" t="inlineStr">
        <is>
          <t>Mistral</t>
        </is>
      </c>
      <c r="E34" t="inlineStr">
        <is>
          <t>Cultivo</t>
        </is>
      </c>
      <c r="F34" t="inlineStr">
        <is>
          <t>SIE_FRA_011</t>
        </is>
      </c>
      <c r="G34" t="inlineStr">
        <is>
          <t>Cama Frailes 3 - Culantro</t>
        </is>
      </c>
      <c r="H34" t="inlineStr">
        <is>
          <t>FIN_FRAILES</t>
        </is>
      </c>
      <c r="I34" t="inlineStr">
        <is>
          <t>Frailes</t>
        </is>
      </c>
      <c r="J34" t="inlineStr">
        <is>
          <t>UNI_FRA_CAMA_03</t>
        </is>
      </c>
      <c r="K34" t="inlineStr">
        <is>
          <t>Cama Frailes 3</t>
        </is>
      </c>
      <c r="L34" t="inlineStr">
        <is>
          <t>CUL_CULANTRO</t>
        </is>
      </c>
      <c r="M34" t="inlineStr">
        <is>
          <t>Culantro</t>
        </is>
      </c>
      <c r="P34" s="26" t="n"/>
      <c r="Q34" s="26" t="n">
        <v>46178</v>
      </c>
      <c r="R34" t="inlineStr">
        <is>
          <t>Completado</t>
        </is>
      </c>
      <c r="S34" t="inlineStr">
        <is>
          <t>Control fitosanitario con Mistral</t>
        </is>
      </c>
    </row>
    <row r="35">
      <c r="A35" t="inlineStr">
        <is>
          <t>EVT_0034</t>
        </is>
      </c>
      <c r="B35" t="inlineStr">
        <is>
          <t>Abono tierra</t>
        </is>
      </c>
      <c r="C35" t="inlineStr">
        <is>
          <t>INS_YARAMILA</t>
        </is>
      </c>
      <c r="D35" t="inlineStr">
        <is>
          <t>YaraMila</t>
        </is>
      </c>
      <c r="E35" t="inlineStr">
        <is>
          <t>Cultivo</t>
        </is>
      </c>
      <c r="F35" t="inlineStr">
        <is>
          <t>SIE_FRA_012</t>
        </is>
      </c>
      <c r="G35" t="inlineStr">
        <is>
          <t>Cama Frailes 3 - Chile dulce</t>
        </is>
      </c>
      <c r="H35" t="inlineStr">
        <is>
          <t>FIN_FRAILES</t>
        </is>
      </c>
      <c r="I35" t="inlineStr">
        <is>
          <t>Frailes</t>
        </is>
      </c>
      <c r="J35" t="inlineStr">
        <is>
          <t>UNI_FRA_CAMA_03</t>
        </is>
      </c>
      <c r="K35" t="inlineStr">
        <is>
          <t>Cama Frailes 3</t>
        </is>
      </c>
      <c r="L35" t="inlineStr">
        <is>
          <t>CUL_CHILE_DULCE</t>
        </is>
      </c>
      <c r="M35" t="inlineStr">
        <is>
          <t>Chile dulce</t>
        </is>
      </c>
      <c r="P35" s="26" t="n"/>
      <c r="Q35" s="26" t="n">
        <v>46164</v>
      </c>
      <c r="R35" t="inlineStr">
        <is>
          <t>Completado</t>
        </is>
      </c>
      <c r="S35" t="inlineStr">
        <is>
          <t>Abonado con YaraMila</t>
        </is>
      </c>
    </row>
    <row r="36">
      <c r="A36" t="inlineStr">
        <is>
          <t>EVT_0035</t>
        </is>
      </c>
      <c r="B36" t="inlineStr">
        <is>
          <t>Abono tierra</t>
        </is>
      </c>
      <c r="C36" t="inlineStr">
        <is>
          <t>INS_YARAMILA</t>
        </is>
      </c>
      <c r="D36" t="inlineStr">
        <is>
          <t>YaraMila</t>
        </is>
      </c>
      <c r="E36" t="inlineStr">
        <is>
          <t>Cultivo</t>
        </is>
      </c>
      <c r="F36" t="inlineStr">
        <is>
          <t>SIE_FRA_012</t>
        </is>
      </c>
      <c r="G36" t="inlineStr">
        <is>
          <t>Cama Frailes 3 - Chile dulce</t>
        </is>
      </c>
      <c r="H36" t="inlineStr">
        <is>
          <t>FIN_FRAILES</t>
        </is>
      </c>
      <c r="I36" t="inlineStr">
        <is>
          <t>Frailes</t>
        </is>
      </c>
      <c r="J36" t="inlineStr">
        <is>
          <t>UNI_FRA_CAMA_03</t>
        </is>
      </c>
      <c r="K36" t="inlineStr">
        <is>
          <t>Cama Frailes 3</t>
        </is>
      </c>
      <c r="L36" t="inlineStr">
        <is>
          <t>CUL_CHILE_DULCE</t>
        </is>
      </c>
      <c r="M36" t="inlineStr">
        <is>
          <t>Chile dulce</t>
        </is>
      </c>
      <c r="P36" s="26" t="n"/>
      <c r="Q36" s="26" t="n">
        <v>46178</v>
      </c>
      <c r="R36" t="inlineStr">
        <is>
          <t>Completado</t>
        </is>
      </c>
      <c r="S36" t="inlineStr">
        <is>
          <t>Abonado con YaraMila</t>
        </is>
      </c>
    </row>
    <row r="37">
      <c r="A37" t="inlineStr">
        <is>
          <t>EVT_0036</t>
        </is>
      </c>
      <c r="B37" t="inlineStr">
        <is>
          <t>Control fitosanitario</t>
        </is>
      </c>
      <c r="C37" t="inlineStr">
        <is>
          <t>INS_MISTRAL</t>
        </is>
      </c>
      <c r="D37" t="inlineStr">
        <is>
          <t>Mistral</t>
        </is>
      </c>
      <c r="E37" t="inlineStr">
        <is>
          <t>Cultivo</t>
        </is>
      </c>
      <c r="F37" t="inlineStr">
        <is>
          <t>SIE_FRA_012</t>
        </is>
      </c>
      <c r="G37" t="inlineStr">
        <is>
          <t>Cama Frailes 3 - Chile dulce</t>
        </is>
      </c>
      <c r="H37" t="inlineStr">
        <is>
          <t>FIN_FRAILES</t>
        </is>
      </c>
      <c r="I37" t="inlineStr">
        <is>
          <t>Frailes</t>
        </is>
      </c>
      <c r="J37" t="inlineStr">
        <is>
          <t>UNI_FRA_CAMA_03</t>
        </is>
      </c>
      <c r="K37" t="inlineStr">
        <is>
          <t>Cama Frailes 3</t>
        </is>
      </c>
      <c r="L37" t="inlineStr">
        <is>
          <t>CUL_CHILE_DULCE</t>
        </is>
      </c>
      <c r="M37" t="inlineStr">
        <is>
          <t>Chile dulce</t>
        </is>
      </c>
      <c r="P37" s="26" t="n"/>
      <c r="Q37" s="26" t="n">
        <v>46178</v>
      </c>
      <c r="R37" t="inlineStr">
        <is>
          <t>Completado</t>
        </is>
      </c>
      <c r="S37" t="inlineStr">
        <is>
          <t>Control fitosanitario con Mistral</t>
        </is>
      </c>
    </row>
    <row r="38">
      <c r="A38" t="inlineStr">
        <is>
          <t>EVT_0037</t>
        </is>
      </c>
      <c r="B38" t="inlineStr">
        <is>
          <t>Abono tierra</t>
        </is>
      </c>
      <c r="C38" t="inlineStr">
        <is>
          <t>INS_YARAMILA</t>
        </is>
      </c>
      <c r="D38" t="inlineStr">
        <is>
          <t>YaraMila</t>
        </is>
      </c>
      <c r="E38" t="inlineStr">
        <is>
          <t>Cultivo</t>
        </is>
      </c>
      <c r="F38" t="inlineStr">
        <is>
          <t>SIE_FRA_013</t>
        </is>
      </c>
      <c r="G38" t="inlineStr">
        <is>
          <t>Cama Frailes 5 - Cebolla morada</t>
        </is>
      </c>
      <c r="H38" t="inlineStr">
        <is>
          <t>FIN_FRAILES</t>
        </is>
      </c>
      <c r="I38" t="inlineStr">
        <is>
          <t>Frailes</t>
        </is>
      </c>
      <c r="J38" t="inlineStr">
        <is>
          <t>UNI_FRA_CAMA_05</t>
        </is>
      </c>
      <c r="K38" t="inlineStr">
        <is>
          <t>Cama Frailes 5</t>
        </is>
      </c>
      <c r="L38" t="inlineStr">
        <is>
          <t>CUL_CEBOLLA_MORADA</t>
        </is>
      </c>
      <c r="M38" t="inlineStr">
        <is>
          <t>Cebolla morada</t>
        </is>
      </c>
      <c r="P38" s="26" t="n"/>
      <c r="Q38" s="26" t="n">
        <v>46164</v>
      </c>
      <c r="R38" t="inlineStr">
        <is>
          <t>Completado</t>
        </is>
      </c>
      <c r="S38" t="inlineStr">
        <is>
          <t>Abonado con YaraMila</t>
        </is>
      </c>
    </row>
    <row r="39">
      <c r="A39" t="inlineStr">
        <is>
          <t>EVT_0038</t>
        </is>
      </c>
      <c r="B39" t="inlineStr">
        <is>
          <t>Abono tierra</t>
        </is>
      </c>
      <c r="C39" t="inlineStr">
        <is>
          <t>INS_YARAMILA</t>
        </is>
      </c>
      <c r="D39" t="inlineStr">
        <is>
          <t>YaraMila</t>
        </is>
      </c>
      <c r="E39" t="inlineStr">
        <is>
          <t>Cultivo</t>
        </is>
      </c>
      <c r="F39" t="inlineStr">
        <is>
          <t>SIE_FRA_013</t>
        </is>
      </c>
      <c r="G39" t="inlineStr">
        <is>
          <t>Cama Frailes 5 - Cebolla morada</t>
        </is>
      </c>
      <c r="H39" t="inlineStr">
        <is>
          <t>FIN_FRAILES</t>
        </is>
      </c>
      <c r="I39" t="inlineStr">
        <is>
          <t>Frailes</t>
        </is>
      </c>
      <c r="J39" t="inlineStr">
        <is>
          <t>UNI_FRA_CAMA_05</t>
        </is>
      </c>
      <c r="K39" t="inlineStr">
        <is>
          <t>Cama Frailes 5</t>
        </is>
      </c>
      <c r="L39" t="inlineStr">
        <is>
          <t>CUL_CEBOLLA_MORADA</t>
        </is>
      </c>
      <c r="M39" t="inlineStr">
        <is>
          <t>Cebolla morada</t>
        </is>
      </c>
      <c r="P39" s="26" t="n"/>
      <c r="Q39" s="26" t="n">
        <v>46178</v>
      </c>
      <c r="R39" t="inlineStr">
        <is>
          <t>Completado</t>
        </is>
      </c>
      <c r="S39" t="inlineStr">
        <is>
          <t>Abonado con YaraMila</t>
        </is>
      </c>
    </row>
    <row r="40">
      <c r="A40" t="inlineStr">
        <is>
          <t>EVT_0039</t>
        </is>
      </c>
      <c r="B40" t="inlineStr">
        <is>
          <t>Control fitosanitario</t>
        </is>
      </c>
      <c r="C40" t="inlineStr">
        <is>
          <t>INS_MISTRAL</t>
        </is>
      </c>
      <c r="D40" t="inlineStr">
        <is>
          <t>Mistral</t>
        </is>
      </c>
      <c r="E40" t="inlineStr">
        <is>
          <t>Cultivo</t>
        </is>
      </c>
      <c r="F40" t="inlineStr">
        <is>
          <t>SIE_FRA_013</t>
        </is>
      </c>
      <c r="G40" t="inlineStr">
        <is>
          <t>Cama Frailes 5 - Cebolla morada</t>
        </is>
      </c>
      <c r="H40" t="inlineStr">
        <is>
          <t>FIN_FRAILES</t>
        </is>
      </c>
      <c r="I40" t="inlineStr">
        <is>
          <t>Frailes</t>
        </is>
      </c>
      <c r="J40" t="inlineStr">
        <is>
          <t>UNI_FRA_CAMA_05</t>
        </is>
      </c>
      <c r="K40" t="inlineStr">
        <is>
          <t>Cama Frailes 5</t>
        </is>
      </c>
      <c r="L40" t="inlineStr">
        <is>
          <t>CUL_CEBOLLA_MORADA</t>
        </is>
      </c>
      <c r="M40" t="inlineStr">
        <is>
          <t>Cebolla morada</t>
        </is>
      </c>
      <c r="P40" s="26" t="n"/>
      <c r="Q40" s="26" t="n">
        <v>46178</v>
      </c>
      <c r="R40" t="inlineStr">
        <is>
          <t>Completado</t>
        </is>
      </c>
      <c r="S40" t="inlineStr">
        <is>
          <t>Control fitosanitario con Mistral</t>
        </is>
      </c>
    </row>
    <row r="41">
      <c r="A41" t="inlineStr">
        <is>
          <t>EVT_0040</t>
        </is>
      </c>
      <c r="B41" t="inlineStr">
        <is>
          <t>Abono tierra</t>
        </is>
      </c>
      <c r="C41" t="inlineStr">
        <is>
          <t>INS_YARAMILA</t>
        </is>
      </c>
      <c r="D41" t="inlineStr">
        <is>
          <t>YaraMila</t>
        </is>
      </c>
      <c r="E41" t="inlineStr">
        <is>
          <t>Cultivo</t>
        </is>
      </c>
      <c r="F41" t="inlineStr">
        <is>
          <t>SIE_FRA_014</t>
        </is>
      </c>
      <c r="G41" t="inlineStr">
        <is>
          <t>Cama Frailes 5 - Arúgula</t>
        </is>
      </c>
      <c r="H41" t="inlineStr">
        <is>
          <t>FIN_FRAILES</t>
        </is>
      </c>
      <c r="I41" t="inlineStr">
        <is>
          <t>Frailes</t>
        </is>
      </c>
      <c r="J41" t="inlineStr">
        <is>
          <t>UNI_FRA_CAMA_05</t>
        </is>
      </c>
      <c r="K41" t="inlineStr">
        <is>
          <t>Cama Frailes 5</t>
        </is>
      </c>
      <c r="L41" t="inlineStr">
        <is>
          <t>CUL_ARUGULA</t>
        </is>
      </c>
      <c r="M41" t="inlineStr">
        <is>
          <t>Arúgula</t>
        </is>
      </c>
      <c r="P41" s="26" t="n"/>
      <c r="Q41" s="26" t="n">
        <v>46164</v>
      </c>
      <c r="R41" t="inlineStr">
        <is>
          <t>Completado</t>
        </is>
      </c>
      <c r="S41" t="inlineStr">
        <is>
          <t>Abonado con YaraMila</t>
        </is>
      </c>
    </row>
    <row r="42">
      <c r="A42" t="inlineStr">
        <is>
          <t>EVT_0041</t>
        </is>
      </c>
      <c r="B42" t="inlineStr">
        <is>
          <t>Abono tierra</t>
        </is>
      </c>
      <c r="C42" t="inlineStr">
        <is>
          <t>INS_YARAMILA</t>
        </is>
      </c>
      <c r="D42" t="inlineStr">
        <is>
          <t>YaraMila</t>
        </is>
      </c>
      <c r="E42" t="inlineStr">
        <is>
          <t>Cultivo</t>
        </is>
      </c>
      <c r="F42" t="inlineStr">
        <is>
          <t>SIE_FRA_014</t>
        </is>
      </c>
      <c r="G42" t="inlineStr">
        <is>
          <t>Cama Frailes 5 - Arúgula</t>
        </is>
      </c>
      <c r="H42" t="inlineStr">
        <is>
          <t>FIN_FRAILES</t>
        </is>
      </c>
      <c r="I42" t="inlineStr">
        <is>
          <t>Frailes</t>
        </is>
      </c>
      <c r="J42" t="inlineStr">
        <is>
          <t>UNI_FRA_CAMA_05</t>
        </is>
      </c>
      <c r="K42" t="inlineStr">
        <is>
          <t>Cama Frailes 5</t>
        </is>
      </c>
      <c r="L42" t="inlineStr">
        <is>
          <t>CUL_ARUGULA</t>
        </is>
      </c>
      <c r="M42" t="inlineStr">
        <is>
          <t>Arúgula</t>
        </is>
      </c>
      <c r="P42" s="26" t="n"/>
      <c r="Q42" s="26" t="n">
        <v>46178</v>
      </c>
      <c r="R42" t="inlineStr">
        <is>
          <t>Completado</t>
        </is>
      </c>
      <c r="S42" t="inlineStr">
        <is>
          <t>Abonado con YaraMila</t>
        </is>
      </c>
    </row>
    <row r="43">
      <c r="A43" t="inlineStr">
        <is>
          <t>EVT_0042</t>
        </is>
      </c>
      <c r="B43" t="inlineStr">
        <is>
          <t>Control fitosanitario</t>
        </is>
      </c>
      <c r="C43" t="inlineStr">
        <is>
          <t>INS_MISTRAL</t>
        </is>
      </c>
      <c r="D43" t="inlineStr">
        <is>
          <t>Mistral</t>
        </is>
      </c>
      <c r="E43" t="inlineStr">
        <is>
          <t>Cultivo</t>
        </is>
      </c>
      <c r="F43" t="inlineStr">
        <is>
          <t>SIE_FRA_014</t>
        </is>
      </c>
      <c r="G43" t="inlineStr">
        <is>
          <t>Cama Frailes 5 - Arúgula</t>
        </is>
      </c>
      <c r="H43" t="inlineStr">
        <is>
          <t>FIN_FRAILES</t>
        </is>
      </c>
      <c r="I43" t="inlineStr">
        <is>
          <t>Frailes</t>
        </is>
      </c>
      <c r="J43" t="inlineStr">
        <is>
          <t>UNI_FRA_CAMA_05</t>
        </is>
      </c>
      <c r="K43" t="inlineStr">
        <is>
          <t>Cama Frailes 5</t>
        </is>
      </c>
      <c r="L43" t="inlineStr">
        <is>
          <t>CUL_ARUGULA</t>
        </is>
      </c>
      <c r="M43" t="inlineStr">
        <is>
          <t>Arúgula</t>
        </is>
      </c>
      <c r="P43" s="26" t="n"/>
      <c r="Q43" s="26" t="n">
        <v>46178</v>
      </c>
      <c r="R43" t="inlineStr">
        <is>
          <t>Completado</t>
        </is>
      </c>
      <c r="S43" t="inlineStr">
        <is>
          <t>Control fitosanitario con Mistral</t>
        </is>
      </c>
    </row>
    <row r="44">
      <c r="A44" t="inlineStr">
        <is>
          <t>EVT_0043</t>
        </is>
      </c>
      <c r="B44" t="inlineStr">
        <is>
          <t>Abono tierra</t>
        </is>
      </c>
      <c r="C44" t="inlineStr">
        <is>
          <t>INS_YARAMILA</t>
        </is>
      </c>
      <c r="D44" t="inlineStr">
        <is>
          <t>YaraMila</t>
        </is>
      </c>
      <c r="E44" t="inlineStr">
        <is>
          <t>Cultivo</t>
        </is>
      </c>
      <c r="F44" t="inlineStr">
        <is>
          <t>SIE_FRA_016</t>
        </is>
      </c>
      <c r="G44" t="inlineStr">
        <is>
          <t>Cama Frailes 6 - Zucchini</t>
        </is>
      </c>
      <c r="H44" t="inlineStr">
        <is>
          <t>FIN_FRAILES</t>
        </is>
      </c>
      <c r="I44" t="inlineStr">
        <is>
          <t>Frailes</t>
        </is>
      </c>
      <c r="J44" t="inlineStr">
        <is>
          <t>UNI_FRA_CAMA_06</t>
        </is>
      </c>
      <c r="K44" t="inlineStr">
        <is>
          <t>Cama Frailes 6</t>
        </is>
      </c>
      <c r="L44" t="inlineStr">
        <is>
          <t>CUL_ZUCCHINI</t>
        </is>
      </c>
      <c r="M44" t="inlineStr">
        <is>
          <t>Zucchini</t>
        </is>
      </c>
      <c r="P44" s="26" t="n"/>
      <c r="Q44" s="26" t="n">
        <v>46164</v>
      </c>
      <c r="R44" t="inlineStr">
        <is>
          <t>Completado</t>
        </is>
      </c>
      <c r="S44" t="inlineStr">
        <is>
          <t>Abonado con YaraMila</t>
        </is>
      </c>
    </row>
    <row r="45">
      <c r="A45" t="inlineStr">
        <is>
          <t>EVT_0044</t>
        </is>
      </c>
      <c r="B45" t="inlineStr">
        <is>
          <t>Abono tierra</t>
        </is>
      </c>
      <c r="C45" t="inlineStr">
        <is>
          <t>INS_YARAMILA</t>
        </is>
      </c>
      <c r="D45" t="inlineStr">
        <is>
          <t>YaraMila</t>
        </is>
      </c>
      <c r="E45" t="inlineStr">
        <is>
          <t>Cultivo</t>
        </is>
      </c>
      <c r="F45" t="inlineStr">
        <is>
          <t>SIE_FRA_016</t>
        </is>
      </c>
      <c r="G45" t="inlineStr">
        <is>
          <t>Cama Frailes 6 - Zucchini</t>
        </is>
      </c>
      <c r="H45" t="inlineStr">
        <is>
          <t>FIN_FRAILES</t>
        </is>
      </c>
      <c r="I45" t="inlineStr">
        <is>
          <t>Frailes</t>
        </is>
      </c>
      <c r="J45" t="inlineStr">
        <is>
          <t>UNI_FRA_CAMA_06</t>
        </is>
      </c>
      <c r="K45" t="inlineStr">
        <is>
          <t>Cama Frailes 6</t>
        </is>
      </c>
      <c r="L45" t="inlineStr">
        <is>
          <t>CUL_ZUCCHINI</t>
        </is>
      </c>
      <c r="M45" t="inlineStr">
        <is>
          <t>Zucchini</t>
        </is>
      </c>
      <c r="P45" s="26" t="n"/>
      <c r="Q45" s="26" t="n">
        <v>46178</v>
      </c>
      <c r="R45" t="inlineStr">
        <is>
          <t>Completado</t>
        </is>
      </c>
      <c r="S45" t="inlineStr">
        <is>
          <t>Abonado con YaraMila</t>
        </is>
      </c>
    </row>
    <row r="46">
      <c r="A46" t="inlineStr">
        <is>
          <t>EVT_0045</t>
        </is>
      </c>
      <c r="B46" t="inlineStr">
        <is>
          <t>Control fitosanitario</t>
        </is>
      </c>
      <c r="C46" t="inlineStr">
        <is>
          <t>INS_MISTRAL</t>
        </is>
      </c>
      <c r="D46" t="inlineStr">
        <is>
          <t>Mistral</t>
        </is>
      </c>
      <c r="E46" t="inlineStr">
        <is>
          <t>Cultivo</t>
        </is>
      </c>
      <c r="F46" t="inlineStr">
        <is>
          <t>SIE_FRA_016</t>
        </is>
      </c>
      <c r="G46" t="inlineStr">
        <is>
          <t>Cama Frailes 6 - Zucchini</t>
        </is>
      </c>
      <c r="H46" t="inlineStr">
        <is>
          <t>FIN_FRAILES</t>
        </is>
      </c>
      <c r="I46" t="inlineStr">
        <is>
          <t>Frailes</t>
        </is>
      </c>
      <c r="J46" t="inlineStr">
        <is>
          <t>UNI_FRA_CAMA_06</t>
        </is>
      </c>
      <c r="K46" t="inlineStr">
        <is>
          <t>Cama Frailes 6</t>
        </is>
      </c>
      <c r="L46" t="inlineStr">
        <is>
          <t>CUL_ZUCCHINI</t>
        </is>
      </c>
      <c r="M46" t="inlineStr">
        <is>
          <t>Zucchini</t>
        </is>
      </c>
      <c r="P46" s="26" t="n"/>
      <c r="Q46" s="26" t="n">
        <v>46178</v>
      </c>
      <c r="R46" t="inlineStr">
        <is>
          <t>Completado</t>
        </is>
      </c>
      <c r="S46" t="inlineStr">
        <is>
          <t>Control fitosanitario con Mistral</t>
        </is>
      </c>
    </row>
    <row r="47">
      <c r="A47" t="inlineStr">
        <is>
          <t>EVT_0046</t>
        </is>
      </c>
      <c r="B47" t="inlineStr">
        <is>
          <t>Abono tierra</t>
        </is>
      </c>
      <c r="C47" t="inlineStr">
        <is>
          <t>INS_YARAMILA</t>
        </is>
      </c>
      <c r="D47" t="inlineStr">
        <is>
          <t>YaraMila</t>
        </is>
      </c>
      <c r="E47" t="inlineStr">
        <is>
          <t>Cultivo</t>
        </is>
      </c>
      <c r="F47" t="inlineStr">
        <is>
          <t>SIE_FRA_017</t>
        </is>
      </c>
      <c r="G47" t="inlineStr">
        <is>
          <t>Cama Frailes 7 - Zanahoria</t>
        </is>
      </c>
      <c r="H47" t="inlineStr">
        <is>
          <t>FIN_FRAILES</t>
        </is>
      </c>
      <c r="I47" t="inlineStr">
        <is>
          <t>Frailes</t>
        </is>
      </c>
      <c r="J47" t="inlineStr">
        <is>
          <t>UNI_FRA_CAMA_07</t>
        </is>
      </c>
      <c r="K47" t="inlineStr">
        <is>
          <t>Cama Frailes 7</t>
        </is>
      </c>
      <c r="L47" t="inlineStr">
        <is>
          <t>CUL_ZANAHORIA</t>
        </is>
      </c>
      <c r="M47" t="inlineStr">
        <is>
          <t>Zanahoria</t>
        </is>
      </c>
      <c r="P47" s="26" t="n"/>
      <c r="Q47" s="26" t="n">
        <v>46164</v>
      </c>
      <c r="R47" t="inlineStr">
        <is>
          <t>Completado</t>
        </is>
      </c>
      <c r="S47" t="inlineStr">
        <is>
          <t>Abonado con YaraMila</t>
        </is>
      </c>
    </row>
    <row r="48">
      <c r="A48" t="inlineStr">
        <is>
          <t>EVT_0047</t>
        </is>
      </c>
      <c r="B48" t="inlineStr">
        <is>
          <t>Abono tierra</t>
        </is>
      </c>
      <c r="C48" t="inlineStr">
        <is>
          <t>INS_YARAMILA</t>
        </is>
      </c>
      <c r="D48" t="inlineStr">
        <is>
          <t>YaraMila</t>
        </is>
      </c>
      <c r="E48" t="inlineStr">
        <is>
          <t>Cultivo</t>
        </is>
      </c>
      <c r="F48" t="inlineStr">
        <is>
          <t>SIE_FRA_017</t>
        </is>
      </c>
      <c r="G48" t="inlineStr">
        <is>
          <t>Cama Frailes 7 - Zanahoria</t>
        </is>
      </c>
      <c r="H48" t="inlineStr">
        <is>
          <t>FIN_FRAILES</t>
        </is>
      </c>
      <c r="I48" t="inlineStr">
        <is>
          <t>Frailes</t>
        </is>
      </c>
      <c r="J48" t="inlineStr">
        <is>
          <t>UNI_FRA_CAMA_07</t>
        </is>
      </c>
      <c r="K48" t="inlineStr">
        <is>
          <t>Cama Frailes 7</t>
        </is>
      </c>
      <c r="L48" t="inlineStr">
        <is>
          <t>CUL_ZANAHORIA</t>
        </is>
      </c>
      <c r="M48" t="inlineStr">
        <is>
          <t>Zanahoria</t>
        </is>
      </c>
      <c r="P48" s="26" t="n"/>
      <c r="Q48" s="26" t="n">
        <v>46178</v>
      </c>
      <c r="R48" t="inlineStr">
        <is>
          <t>Completado</t>
        </is>
      </c>
      <c r="S48" t="inlineStr">
        <is>
          <t>Abonado con YaraMila</t>
        </is>
      </c>
    </row>
    <row r="49">
      <c r="A49" t="inlineStr">
        <is>
          <t>EVT_0048</t>
        </is>
      </c>
      <c r="B49" t="inlineStr">
        <is>
          <t>Control fitosanitario</t>
        </is>
      </c>
      <c r="C49" t="inlineStr">
        <is>
          <t>INS_MISTRAL</t>
        </is>
      </c>
      <c r="D49" t="inlineStr">
        <is>
          <t>Mistral</t>
        </is>
      </c>
      <c r="E49" t="inlineStr">
        <is>
          <t>Cultivo</t>
        </is>
      </c>
      <c r="F49" t="inlineStr">
        <is>
          <t>SIE_FRA_017</t>
        </is>
      </c>
      <c r="G49" t="inlineStr">
        <is>
          <t>Cama Frailes 7 - Zanahoria</t>
        </is>
      </c>
      <c r="H49" t="inlineStr">
        <is>
          <t>FIN_FRAILES</t>
        </is>
      </c>
      <c r="I49" t="inlineStr">
        <is>
          <t>Frailes</t>
        </is>
      </c>
      <c r="J49" t="inlineStr">
        <is>
          <t>UNI_FRA_CAMA_07</t>
        </is>
      </c>
      <c r="K49" t="inlineStr">
        <is>
          <t>Cama Frailes 7</t>
        </is>
      </c>
      <c r="L49" t="inlineStr">
        <is>
          <t>CUL_ZANAHORIA</t>
        </is>
      </c>
      <c r="M49" t="inlineStr">
        <is>
          <t>Zanahoria</t>
        </is>
      </c>
      <c r="P49" s="26" t="n"/>
      <c r="Q49" s="26" t="n">
        <v>46178</v>
      </c>
      <c r="R49" t="inlineStr">
        <is>
          <t>Completado</t>
        </is>
      </c>
      <c r="S49" t="inlineStr">
        <is>
          <t>Control fitosanitario con Mistral</t>
        </is>
      </c>
    </row>
    <row r="50">
      <c r="A50" t="inlineStr">
        <is>
          <t>EVT_0049</t>
        </is>
      </c>
      <c r="B50" t="inlineStr">
        <is>
          <t>Abono foliar</t>
        </is>
      </c>
      <c r="C50" t="inlineStr">
        <is>
          <t>INS_MULTIMINERAL</t>
        </is>
      </c>
      <c r="D50" t="inlineStr">
        <is>
          <t>Multimineral</t>
        </is>
      </c>
      <c r="E50" t="inlineStr">
        <is>
          <t>Arbol</t>
        </is>
      </c>
      <c r="F50" t="inlineStr">
        <is>
          <t>ARB_GUAYABITA_DEL_PERU_MORAVIA</t>
        </is>
      </c>
      <c r="G50" t="inlineStr">
        <is>
          <t>Guayabita del Perú - Moravia</t>
        </is>
      </c>
      <c r="H50" t="inlineStr">
        <is>
          <t>FIN_MORAVIA</t>
        </is>
      </c>
      <c r="I50" t="inlineStr">
        <is>
          <t>Moravia</t>
        </is>
      </c>
      <c r="N50" t="inlineStr">
        <is>
          <t>ARB_GUAYABITA_DEL_PERU_MORAVIA</t>
        </is>
      </c>
      <c r="O50" t="inlineStr">
        <is>
          <t>Guayabita del Perú</t>
        </is>
      </c>
      <c r="P50" s="26" t="n"/>
      <c r="Q50" s="26" t="n">
        <v>46142</v>
      </c>
      <c r="R50" t="inlineStr">
        <is>
          <t>Completado</t>
        </is>
      </c>
      <c r="S50" t="inlineStr">
        <is>
          <t>Abono foliar con Multimineral</t>
        </is>
      </c>
    </row>
    <row r="51">
      <c r="A51" t="inlineStr">
        <is>
          <t>EVT_0050</t>
        </is>
      </c>
      <c r="B51" t="inlineStr">
        <is>
          <t>Abono tierra</t>
        </is>
      </c>
      <c r="C51" t="inlineStr">
        <is>
          <t>INS_YARAMILA</t>
        </is>
      </c>
      <c r="D51" t="inlineStr">
        <is>
          <t>YaraMila</t>
        </is>
      </c>
      <c r="E51" t="inlineStr">
        <is>
          <t>Arbol</t>
        </is>
      </c>
      <c r="F51" t="inlineStr">
        <is>
          <t>ARB_GUAYABITA_DEL_PERU_MORAVIA</t>
        </is>
      </c>
      <c r="G51" t="inlineStr">
        <is>
          <t>Guayabita del Perú - Moravia</t>
        </is>
      </c>
      <c r="H51" t="inlineStr">
        <is>
          <t>FIN_MORAVIA</t>
        </is>
      </c>
      <c r="I51" t="inlineStr">
        <is>
          <t>Moravia</t>
        </is>
      </c>
      <c r="N51" t="inlineStr">
        <is>
          <t>ARB_GUAYABITA_DEL_PERU_MORAVIA</t>
        </is>
      </c>
      <c r="O51" t="inlineStr">
        <is>
          <t>Guayabita del Perú</t>
        </is>
      </c>
      <c r="P51" s="26" t="n"/>
      <c r="Q51" s="26" t="n">
        <v>46135</v>
      </c>
      <c r="R51" t="inlineStr">
        <is>
          <t>Completado</t>
        </is>
      </c>
      <c r="S51" t="inlineStr">
        <is>
          <t>Abono tierra con YaraMila</t>
        </is>
      </c>
    </row>
    <row r="52">
      <c r="A52" t="inlineStr">
        <is>
          <t>EVT_0051</t>
        </is>
      </c>
      <c r="B52" t="inlineStr">
        <is>
          <t>Control fitosanitario</t>
        </is>
      </c>
      <c r="C52" t="inlineStr">
        <is>
          <t>INS_MISTRAL</t>
        </is>
      </c>
      <c r="D52" t="inlineStr">
        <is>
          <t>Mistral</t>
        </is>
      </c>
      <c r="E52" t="inlineStr">
        <is>
          <t>Arbol</t>
        </is>
      </c>
      <c r="F52" t="inlineStr">
        <is>
          <t>ARB_GUAYABITA_DEL_PERU_MORAVIA</t>
        </is>
      </c>
      <c r="G52" t="inlineStr">
        <is>
          <t>Guayabita del Perú - Moravia</t>
        </is>
      </c>
      <c r="H52" t="inlineStr">
        <is>
          <t>FIN_MORAVIA</t>
        </is>
      </c>
      <c r="I52" t="inlineStr">
        <is>
          <t>Moravia</t>
        </is>
      </c>
      <c r="N52" t="inlineStr">
        <is>
          <t>ARB_GUAYABITA_DEL_PERU_MORAVIA</t>
        </is>
      </c>
      <c r="O52" t="inlineStr">
        <is>
          <t>Guayabita del Perú</t>
        </is>
      </c>
      <c r="P52" s="26" t="n"/>
      <c r="Q52" s="26" t="n">
        <v>46133</v>
      </c>
      <c r="R52" t="inlineStr">
        <is>
          <t>Completado</t>
        </is>
      </c>
      <c r="S52" t="inlineStr">
        <is>
          <t>Control fitosanitario con Mistral + PAS-80</t>
        </is>
      </c>
    </row>
    <row r="53">
      <c r="A53" t="inlineStr">
        <is>
          <t>EVT_0052</t>
        </is>
      </c>
      <c r="B53" t="inlineStr">
        <is>
          <t>Abono tierra</t>
        </is>
      </c>
      <c r="C53" t="inlineStr">
        <is>
          <t>INS_TIERRA_ABONADA</t>
        </is>
      </c>
      <c r="D53" t="inlineStr">
        <is>
          <t>Tierra abonada</t>
        </is>
      </c>
      <c r="E53" t="inlineStr">
        <is>
          <t>Arbol</t>
        </is>
      </c>
      <c r="F53" t="inlineStr">
        <is>
          <t>ARB_GUAYABITA_DEL_PERU_MORAVIA</t>
        </is>
      </c>
      <c r="G53" t="inlineStr">
        <is>
          <t>Guayabita del Perú - Moravia</t>
        </is>
      </c>
      <c r="H53" t="inlineStr">
        <is>
          <t>FIN_MORAVIA</t>
        </is>
      </c>
      <c r="I53" t="inlineStr">
        <is>
          <t>Moravia</t>
        </is>
      </c>
      <c r="N53" t="inlineStr">
        <is>
          <t>ARB_GUAYABITA_DEL_PERU_MORAVIA</t>
        </is>
      </c>
      <c r="O53" t="inlineStr">
        <is>
          <t>Guayabita del Perú</t>
        </is>
      </c>
      <c r="P53" s="26" t="n"/>
      <c r="Q53" s="26" t="n">
        <v>46133</v>
      </c>
      <c r="R53" t="inlineStr">
        <is>
          <t>Completado</t>
        </is>
      </c>
      <c r="S53" t="inlineStr">
        <is>
          <t>Abono con tierra abonada y heno</t>
        </is>
      </c>
    </row>
    <row r="54">
      <c r="A54" t="inlineStr">
        <is>
          <t>EVT_0053</t>
        </is>
      </c>
      <c r="B54" t="inlineStr">
        <is>
          <t>Abono tierra</t>
        </is>
      </c>
      <c r="C54" t="inlineStr">
        <is>
          <t>INS_HENO</t>
        </is>
      </c>
      <c r="D54" t="inlineStr">
        <is>
          <t>Heno</t>
        </is>
      </c>
      <c r="E54" t="inlineStr">
        <is>
          <t>Arbol</t>
        </is>
      </c>
      <c r="F54" t="inlineStr">
        <is>
          <t>ARB_GUAYABITA_DEL_PERU_MORAVIA</t>
        </is>
      </c>
      <c r="G54" t="inlineStr">
        <is>
          <t>Guayabita del Perú - Moravia</t>
        </is>
      </c>
      <c r="H54" t="inlineStr">
        <is>
          <t>FIN_MORAVIA</t>
        </is>
      </c>
      <c r="I54" t="inlineStr">
        <is>
          <t>Moravia</t>
        </is>
      </c>
      <c r="N54" t="inlineStr">
        <is>
          <t>ARB_GUAYABITA_DEL_PERU_MORAVIA</t>
        </is>
      </c>
      <c r="O54" t="inlineStr">
        <is>
          <t>Guayabita del Perú</t>
        </is>
      </c>
      <c r="P54" s="26" t="n"/>
      <c r="Q54" s="26" t="n">
        <v>46133</v>
      </c>
      <c r="R54" t="inlineStr">
        <is>
          <t>Completado</t>
        </is>
      </c>
      <c r="S54" t="inlineStr">
        <is>
          <t>Cobertura con heno</t>
        </is>
      </c>
    </row>
    <row r="55">
      <c r="A55" t="inlineStr">
        <is>
          <t>EVT_0054</t>
        </is>
      </c>
      <c r="B55" t="inlineStr">
        <is>
          <t>Abono foliar</t>
        </is>
      </c>
      <c r="C55" t="inlineStr">
        <is>
          <t>INS_MULTIMINERAL</t>
        </is>
      </c>
      <c r="D55" t="inlineStr">
        <is>
          <t>Multimineral</t>
        </is>
      </c>
      <c r="E55" t="inlineStr">
        <is>
          <t>Arbol</t>
        </is>
      </c>
      <c r="F55" t="inlineStr">
        <is>
          <t>ARB_JABOTICABA_MORAVIA</t>
        </is>
      </c>
      <c r="G55" t="inlineStr">
        <is>
          <t>Jaboticaba - Moravia</t>
        </is>
      </c>
      <c r="H55" t="inlineStr">
        <is>
          <t>FIN_MORAVIA</t>
        </is>
      </c>
      <c r="I55" t="inlineStr">
        <is>
          <t>Moravia</t>
        </is>
      </c>
      <c r="N55" t="inlineStr">
        <is>
          <t>ARB_JABOTICABA_MORAVIA</t>
        </is>
      </c>
      <c r="O55" t="inlineStr">
        <is>
          <t>Jaboticaba</t>
        </is>
      </c>
      <c r="P55" s="26" t="n"/>
      <c r="Q55" s="26" t="n">
        <v>46142</v>
      </c>
      <c r="R55" t="inlineStr">
        <is>
          <t>Completado</t>
        </is>
      </c>
      <c r="S55" t="inlineStr">
        <is>
          <t>Abono foliar con Multimineral</t>
        </is>
      </c>
    </row>
    <row r="56">
      <c r="A56" t="inlineStr">
        <is>
          <t>EVT_0055</t>
        </is>
      </c>
      <c r="B56" t="inlineStr">
        <is>
          <t>Abono tierra</t>
        </is>
      </c>
      <c r="C56" t="inlineStr">
        <is>
          <t>INS_YARAMILA</t>
        </is>
      </c>
      <c r="D56" t="inlineStr">
        <is>
          <t>YaraMila</t>
        </is>
      </c>
      <c r="E56" t="inlineStr">
        <is>
          <t>Arbol</t>
        </is>
      </c>
      <c r="F56" t="inlineStr">
        <is>
          <t>ARB_JABOTICABA_MORAVIA</t>
        </is>
      </c>
      <c r="G56" t="inlineStr">
        <is>
          <t>Jaboticaba - Moravia</t>
        </is>
      </c>
      <c r="H56" t="inlineStr">
        <is>
          <t>FIN_MORAVIA</t>
        </is>
      </c>
      <c r="I56" t="inlineStr">
        <is>
          <t>Moravia</t>
        </is>
      </c>
      <c r="N56" t="inlineStr">
        <is>
          <t>ARB_JABOTICABA_MORAVIA</t>
        </is>
      </c>
      <c r="O56" t="inlineStr">
        <is>
          <t>Jaboticaba</t>
        </is>
      </c>
      <c r="P56" s="26" t="n"/>
      <c r="Q56" s="26" t="n">
        <v>46135</v>
      </c>
      <c r="R56" t="inlineStr">
        <is>
          <t>Completado</t>
        </is>
      </c>
      <c r="S56" t="inlineStr">
        <is>
          <t>Abono tierra con YaraMila</t>
        </is>
      </c>
    </row>
    <row r="57">
      <c r="A57" t="inlineStr">
        <is>
          <t>EVT_0056</t>
        </is>
      </c>
      <c r="B57" t="inlineStr">
        <is>
          <t>Control fitosanitario</t>
        </is>
      </c>
      <c r="C57" t="inlineStr">
        <is>
          <t>INS_MISTRAL</t>
        </is>
      </c>
      <c r="D57" t="inlineStr">
        <is>
          <t>Mistral</t>
        </is>
      </c>
      <c r="E57" t="inlineStr">
        <is>
          <t>Arbol</t>
        </is>
      </c>
      <c r="F57" t="inlineStr">
        <is>
          <t>ARB_JABOTICABA_MORAVIA</t>
        </is>
      </c>
      <c r="G57" t="inlineStr">
        <is>
          <t>Jaboticaba - Moravia</t>
        </is>
      </c>
      <c r="H57" t="inlineStr">
        <is>
          <t>FIN_MORAVIA</t>
        </is>
      </c>
      <c r="I57" t="inlineStr">
        <is>
          <t>Moravia</t>
        </is>
      </c>
      <c r="N57" t="inlineStr">
        <is>
          <t>ARB_JABOTICABA_MORAVIA</t>
        </is>
      </c>
      <c r="O57" t="inlineStr">
        <is>
          <t>Jaboticaba</t>
        </is>
      </c>
      <c r="P57" s="26" t="n"/>
      <c r="Q57" s="26" t="n">
        <v>46133</v>
      </c>
      <c r="R57" t="inlineStr">
        <is>
          <t>Completado</t>
        </is>
      </c>
      <c r="S57" t="inlineStr">
        <is>
          <t>Control fitosanitario con Mistral + PAS-80</t>
        </is>
      </c>
    </row>
    <row r="58">
      <c r="A58" t="inlineStr">
        <is>
          <t>EVT_0057</t>
        </is>
      </c>
      <c r="B58" t="inlineStr">
        <is>
          <t>Abono tierra</t>
        </is>
      </c>
      <c r="C58" t="inlineStr">
        <is>
          <t>INS_TIERRA_ABONADA</t>
        </is>
      </c>
      <c r="D58" t="inlineStr">
        <is>
          <t>Tierra abonada</t>
        </is>
      </c>
      <c r="E58" t="inlineStr">
        <is>
          <t>Arbol</t>
        </is>
      </c>
      <c r="F58" t="inlineStr">
        <is>
          <t>ARB_JABOTICABA_MORAVIA</t>
        </is>
      </c>
      <c r="G58" t="inlineStr">
        <is>
          <t>Jaboticaba - Moravia</t>
        </is>
      </c>
      <c r="H58" t="inlineStr">
        <is>
          <t>FIN_MORAVIA</t>
        </is>
      </c>
      <c r="I58" t="inlineStr">
        <is>
          <t>Moravia</t>
        </is>
      </c>
      <c r="N58" t="inlineStr">
        <is>
          <t>ARB_JABOTICABA_MORAVIA</t>
        </is>
      </c>
      <c r="O58" t="inlineStr">
        <is>
          <t>Jaboticaba</t>
        </is>
      </c>
      <c r="P58" s="26" t="n"/>
      <c r="Q58" s="26" t="n">
        <v>46133</v>
      </c>
      <c r="R58" t="inlineStr">
        <is>
          <t>Completado</t>
        </is>
      </c>
      <c r="S58" t="inlineStr">
        <is>
          <t>Abono con tierra abonada y heno</t>
        </is>
      </c>
    </row>
    <row r="59">
      <c r="A59" t="inlineStr">
        <is>
          <t>EVT_0058</t>
        </is>
      </c>
      <c r="B59" t="inlineStr">
        <is>
          <t>Abono tierra</t>
        </is>
      </c>
      <c r="C59" t="inlineStr">
        <is>
          <t>INS_HENO</t>
        </is>
      </c>
      <c r="D59" t="inlineStr">
        <is>
          <t>Heno</t>
        </is>
      </c>
      <c r="E59" t="inlineStr">
        <is>
          <t>Arbol</t>
        </is>
      </c>
      <c r="F59" t="inlineStr">
        <is>
          <t>ARB_JABOTICABA_MORAVIA</t>
        </is>
      </c>
      <c r="G59" t="inlineStr">
        <is>
          <t>Jaboticaba - Moravia</t>
        </is>
      </c>
      <c r="H59" t="inlineStr">
        <is>
          <t>FIN_MORAVIA</t>
        </is>
      </c>
      <c r="I59" t="inlineStr">
        <is>
          <t>Moravia</t>
        </is>
      </c>
      <c r="N59" t="inlineStr">
        <is>
          <t>ARB_JABOTICABA_MORAVIA</t>
        </is>
      </c>
      <c r="O59" t="inlineStr">
        <is>
          <t>Jaboticaba</t>
        </is>
      </c>
      <c r="P59" s="26" t="n"/>
      <c r="Q59" s="26" t="n">
        <v>46133</v>
      </c>
      <c r="R59" t="inlineStr">
        <is>
          <t>Completado</t>
        </is>
      </c>
      <c r="S59" t="inlineStr">
        <is>
          <t>Cobertura con heno</t>
        </is>
      </c>
    </row>
    <row r="60">
      <c r="A60" t="inlineStr">
        <is>
          <t>EVT_0059</t>
        </is>
      </c>
      <c r="B60" t="inlineStr">
        <is>
          <t>Abono foliar</t>
        </is>
      </c>
      <c r="C60" t="inlineStr">
        <is>
          <t>INS_MULTIMINERAL</t>
        </is>
      </c>
      <c r="D60" t="inlineStr">
        <is>
          <t>Multimineral</t>
        </is>
      </c>
      <c r="E60" t="inlineStr">
        <is>
          <t>Arbol</t>
        </is>
      </c>
      <c r="F60" t="inlineStr">
        <is>
          <t>ARB_LIMON_DULCE_MORAVIA</t>
        </is>
      </c>
      <c r="G60" t="inlineStr">
        <is>
          <t>Limón dulce - Moravia</t>
        </is>
      </c>
      <c r="H60" t="inlineStr">
        <is>
          <t>FIN_MORAVIA</t>
        </is>
      </c>
      <c r="I60" t="inlineStr">
        <is>
          <t>Moravia</t>
        </is>
      </c>
      <c r="N60" t="inlineStr">
        <is>
          <t>ARB_LIMON_DULCE_MORAVIA</t>
        </is>
      </c>
      <c r="O60" t="inlineStr">
        <is>
          <t>Limón dulce</t>
        </is>
      </c>
      <c r="P60" s="26" t="n"/>
      <c r="Q60" s="26" t="n">
        <v>46142</v>
      </c>
      <c r="R60" t="inlineStr">
        <is>
          <t>Completado</t>
        </is>
      </c>
      <c r="S60" t="inlineStr">
        <is>
          <t>Abono foliar con Multimineral</t>
        </is>
      </c>
    </row>
    <row r="61">
      <c r="A61" t="inlineStr">
        <is>
          <t>EVT_0060</t>
        </is>
      </c>
      <c r="B61" t="inlineStr">
        <is>
          <t>Abono tierra</t>
        </is>
      </c>
      <c r="C61" t="inlineStr">
        <is>
          <t>INS_YARAMILA</t>
        </is>
      </c>
      <c r="D61" t="inlineStr">
        <is>
          <t>YaraMila</t>
        </is>
      </c>
      <c r="E61" t="inlineStr">
        <is>
          <t>Arbol</t>
        </is>
      </c>
      <c r="F61" t="inlineStr">
        <is>
          <t>ARB_LIMON_DULCE_MORAVIA</t>
        </is>
      </c>
      <c r="G61" t="inlineStr">
        <is>
          <t>Limón dulce - Moravia</t>
        </is>
      </c>
      <c r="H61" t="inlineStr">
        <is>
          <t>FIN_MORAVIA</t>
        </is>
      </c>
      <c r="I61" t="inlineStr">
        <is>
          <t>Moravia</t>
        </is>
      </c>
      <c r="N61" t="inlineStr">
        <is>
          <t>ARB_LIMON_DULCE_MORAVIA</t>
        </is>
      </c>
      <c r="O61" t="inlineStr">
        <is>
          <t>Limón dulce</t>
        </is>
      </c>
      <c r="P61" s="26" t="n"/>
      <c r="Q61" s="26" t="n">
        <v>46135</v>
      </c>
      <c r="R61" t="inlineStr">
        <is>
          <t>Completado</t>
        </is>
      </c>
      <c r="S61" t="inlineStr">
        <is>
          <t>Abono tierra con YaraMila</t>
        </is>
      </c>
    </row>
    <row r="62">
      <c r="A62" t="inlineStr">
        <is>
          <t>EVT_0061</t>
        </is>
      </c>
      <c r="B62" t="inlineStr">
        <is>
          <t>Control fitosanitario</t>
        </is>
      </c>
      <c r="C62" t="inlineStr">
        <is>
          <t>INS_MISTRAL</t>
        </is>
      </c>
      <c r="D62" t="inlineStr">
        <is>
          <t>Mistral</t>
        </is>
      </c>
      <c r="E62" t="inlineStr">
        <is>
          <t>Arbol</t>
        </is>
      </c>
      <c r="F62" t="inlineStr">
        <is>
          <t>ARB_LIMON_DULCE_MORAVIA</t>
        </is>
      </c>
      <c r="G62" t="inlineStr">
        <is>
          <t>Limón dulce - Moravia</t>
        </is>
      </c>
      <c r="H62" t="inlineStr">
        <is>
          <t>FIN_MORAVIA</t>
        </is>
      </c>
      <c r="I62" t="inlineStr">
        <is>
          <t>Moravia</t>
        </is>
      </c>
      <c r="N62" t="inlineStr">
        <is>
          <t>ARB_LIMON_DULCE_MORAVIA</t>
        </is>
      </c>
      <c r="O62" t="inlineStr">
        <is>
          <t>Limón dulce</t>
        </is>
      </c>
      <c r="P62" s="26" t="n"/>
      <c r="Q62" s="26" t="n">
        <v>46133</v>
      </c>
      <c r="R62" t="inlineStr">
        <is>
          <t>Completado</t>
        </is>
      </c>
      <c r="S62" t="inlineStr">
        <is>
          <t>Control fitosanitario con Mistral + PAS-80</t>
        </is>
      </c>
    </row>
    <row r="63">
      <c r="A63" t="inlineStr">
        <is>
          <t>EVT_0062</t>
        </is>
      </c>
      <c r="B63" t="inlineStr">
        <is>
          <t>Abono tierra</t>
        </is>
      </c>
      <c r="C63" t="inlineStr">
        <is>
          <t>INS_TIERRA_ABONADA</t>
        </is>
      </c>
      <c r="D63" t="inlineStr">
        <is>
          <t>Tierra abonada</t>
        </is>
      </c>
      <c r="E63" t="inlineStr">
        <is>
          <t>Arbol</t>
        </is>
      </c>
      <c r="F63" t="inlineStr">
        <is>
          <t>ARB_LIMON_DULCE_MORAVIA</t>
        </is>
      </c>
      <c r="G63" t="inlineStr">
        <is>
          <t>Limón dulce - Moravia</t>
        </is>
      </c>
      <c r="H63" t="inlineStr">
        <is>
          <t>FIN_MORAVIA</t>
        </is>
      </c>
      <c r="I63" t="inlineStr">
        <is>
          <t>Moravia</t>
        </is>
      </c>
      <c r="N63" t="inlineStr">
        <is>
          <t>ARB_LIMON_DULCE_MORAVIA</t>
        </is>
      </c>
      <c r="O63" t="inlineStr">
        <is>
          <t>Limón dulce</t>
        </is>
      </c>
      <c r="P63" s="26" t="n"/>
      <c r="Q63" s="26" t="n">
        <v>46133</v>
      </c>
      <c r="R63" t="inlineStr">
        <is>
          <t>Completado</t>
        </is>
      </c>
      <c r="S63" t="inlineStr">
        <is>
          <t>Abono con tierra abonada y heno</t>
        </is>
      </c>
    </row>
    <row r="64">
      <c r="A64" t="inlineStr">
        <is>
          <t>EVT_0063</t>
        </is>
      </c>
      <c r="B64" t="inlineStr">
        <is>
          <t>Abono tierra</t>
        </is>
      </c>
      <c r="C64" t="inlineStr">
        <is>
          <t>INS_HENO</t>
        </is>
      </c>
      <c r="D64" t="inlineStr">
        <is>
          <t>Heno</t>
        </is>
      </c>
      <c r="E64" t="inlineStr">
        <is>
          <t>Arbol</t>
        </is>
      </c>
      <c r="F64" t="inlineStr">
        <is>
          <t>ARB_LIMON_DULCE_MORAVIA</t>
        </is>
      </c>
      <c r="G64" t="inlineStr">
        <is>
          <t>Limón dulce - Moravia</t>
        </is>
      </c>
      <c r="H64" t="inlineStr">
        <is>
          <t>FIN_MORAVIA</t>
        </is>
      </c>
      <c r="I64" t="inlineStr">
        <is>
          <t>Moravia</t>
        </is>
      </c>
      <c r="N64" t="inlineStr">
        <is>
          <t>ARB_LIMON_DULCE_MORAVIA</t>
        </is>
      </c>
      <c r="O64" t="inlineStr">
        <is>
          <t>Limón dulce</t>
        </is>
      </c>
      <c r="P64" s="26" t="n"/>
      <c r="Q64" s="26" t="n">
        <v>46133</v>
      </c>
      <c r="R64" t="inlineStr">
        <is>
          <t>Completado</t>
        </is>
      </c>
      <c r="S64" t="inlineStr">
        <is>
          <t>Cobertura con heno</t>
        </is>
      </c>
    </row>
    <row r="65">
      <c r="A65" t="inlineStr">
        <is>
          <t>EVT_0064</t>
        </is>
      </c>
      <c r="B65" t="inlineStr">
        <is>
          <t>Abono foliar</t>
        </is>
      </c>
      <c r="C65" t="inlineStr">
        <is>
          <t>INS_MULTIMINERAL</t>
        </is>
      </c>
      <c r="D65" t="inlineStr">
        <is>
          <t>Multimineral</t>
        </is>
      </c>
      <c r="E65" t="inlineStr">
        <is>
          <t>Arbol</t>
        </is>
      </c>
      <c r="F65" t="inlineStr">
        <is>
          <t>ARB_LIMON_MANDARINA_MORAVIA</t>
        </is>
      </c>
      <c r="G65" t="inlineStr">
        <is>
          <t>Limón mandarina - Moravia</t>
        </is>
      </c>
      <c r="H65" t="inlineStr">
        <is>
          <t>FIN_MORAVIA</t>
        </is>
      </c>
      <c r="I65" t="inlineStr">
        <is>
          <t>Moravia</t>
        </is>
      </c>
      <c r="N65" t="inlineStr">
        <is>
          <t>ARB_LIMON_MANDARINA_MORAVIA</t>
        </is>
      </c>
      <c r="O65" t="inlineStr">
        <is>
          <t>Limón mandarina</t>
        </is>
      </c>
      <c r="P65" s="26" t="n"/>
      <c r="Q65" s="26" t="n">
        <v>46142</v>
      </c>
      <c r="R65" t="inlineStr">
        <is>
          <t>Completado</t>
        </is>
      </c>
      <c r="S65" t="inlineStr">
        <is>
          <t>Abono foliar con Multimineral</t>
        </is>
      </c>
    </row>
    <row r="66">
      <c r="A66" t="inlineStr">
        <is>
          <t>EVT_0065</t>
        </is>
      </c>
      <c r="B66" t="inlineStr">
        <is>
          <t>Abono tierra</t>
        </is>
      </c>
      <c r="C66" t="inlineStr">
        <is>
          <t>INS_YARAMILA</t>
        </is>
      </c>
      <c r="D66" t="inlineStr">
        <is>
          <t>YaraMila</t>
        </is>
      </c>
      <c r="E66" t="inlineStr">
        <is>
          <t>Arbol</t>
        </is>
      </c>
      <c r="F66" t="inlineStr">
        <is>
          <t>ARB_LIMON_MANDARINA_MORAVIA</t>
        </is>
      </c>
      <c r="G66" t="inlineStr">
        <is>
          <t>Limón mandarina - Moravia</t>
        </is>
      </c>
      <c r="H66" t="inlineStr">
        <is>
          <t>FIN_MORAVIA</t>
        </is>
      </c>
      <c r="I66" t="inlineStr">
        <is>
          <t>Moravia</t>
        </is>
      </c>
      <c r="N66" t="inlineStr">
        <is>
          <t>ARB_LIMON_MANDARINA_MORAVIA</t>
        </is>
      </c>
      <c r="O66" t="inlineStr">
        <is>
          <t>Limón mandarina</t>
        </is>
      </c>
      <c r="P66" s="26" t="n"/>
      <c r="Q66" s="26" t="n">
        <v>46135</v>
      </c>
      <c r="R66" t="inlineStr">
        <is>
          <t>Completado</t>
        </is>
      </c>
      <c r="S66" t="inlineStr">
        <is>
          <t>Abono tierra con YaraMila</t>
        </is>
      </c>
    </row>
    <row r="67">
      <c r="A67" t="inlineStr">
        <is>
          <t>EVT_0066</t>
        </is>
      </c>
      <c r="B67" t="inlineStr">
        <is>
          <t>Control fitosanitario</t>
        </is>
      </c>
      <c r="C67" t="inlineStr">
        <is>
          <t>INS_MISTRAL</t>
        </is>
      </c>
      <c r="D67" t="inlineStr">
        <is>
          <t>Mistral</t>
        </is>
      </c>
      <c r="E67" t="inlineStr">
        <is>
          <t>Arbol</t>
        </is>
      </c>
      <c r="F67" t="inlineStr">
        <is>
          <t>ARB_LIMON_MANDARINA_MORAVIA</t>
        </is>
      </c>
      <c r="G67" t="inlineStr">
        <is>
          <t>Limón mandarina - Moravia</t>
        </is>
      </c>
      <c r="H67" t="inlineStr">
        <is>
          <t>FIN_MORAVIA</t>
        </is>
      </c>
      <c r="I67" t="inlineStr">
        <is>
          <t>Moravia</t>
        </is>
      </c>
      <c r="N67" t="inlineStr">
        <is>
          <t>ARB_LIMON_MANDARINA_MORAVIA</t>
        </is>
      </c>
      <c r="O67" t="inlineStr">
        <is>
          <t>Limón mandarina</t>
        </is>
      </c>
      <c r="P67" s="26" t="n"/>
      <c r="Q67" s="26" t="n">
        <v>46133</v>
      </c>
      <c r="R67" t="inlineStr">
        <is>
          <t>Completado</t>
        </is>
      </c>
      <c r="S67" t="inlineStr">
        <is>
          <t>Control fitosanitario con Mistral + PAS-80</t>
        </is>
      </c>
    </row>
    <row r="68">
      <c r="A68" t="inlineStr">
        <is>
          <t>EVT_0067</t>
        </is>
      </c>
      <c r="B68" t="inlineStr">
        <is>
          <t>Abono tierra</t>
        </is>
      </c>
      <c r="C68" t="inlineStr">
        <is>
          <t>INS_TIERRA_ABONADA</t>
        </is>
      </c>
      <c r="D68" t="inlineStr">
        <is>
          <t>Tierra abonada</t>
        </is>
      </c>
      <c r="E68" t="inlineStr">
        <is>
          <t>Arbol</t>
        </is>
      </c>
      <c r="F68" t="inlineStr">
        <is>
          <t>ARB_LIMON_MANDARINA_MORAVIA</t>
        </is>
      </c>
      <c r="G68" t="inlineStr">
        <is>
          <t>Limón mandarina - Moravia</t>
        </is>
      </c>
      <c r="H68" t="inlineStr">
        <is>
          <t>FIN_MORAVIA</t>
        </is>
      </c>
      <c r="I68" t="inlineStr">
        <is>
          <t>Moravia</t>
        </is>
      </c>
      <c r="N68" t="inlineStr">
        <is>
          <t>ARB_LIMON_MANDARINA_MORAVIA</t>
        </is>
      </c>
      <c r="O68" t="inlineStr">
        <is>
          <t>Limón mandarina</t>
        </is>
      </c>
      <c r="P68" s="26" t="n"/>
      <c r="Q68" s="26" t="n">
        <v>46133</v>
      </c>
      <c r="R68" t="inlineStr">
        <is>
          <t>Completado</t>
        </is>
      </c>
      <c r="S68" t="inlineStr">
        <is>
          <t>Abono con tierra abonada y heno</t>
        </is>
      </c>
    </row>
    <row r="69">
      <c r="A69" t="inlineStr">
        <is>
          <t>EVT_0068</t>
        </is>
      </c>
      <c r="B69" t="inlineStr">
        <is>
          <t>Abono tierra</t>
        </is>
      </c>
      <c r="C69" t="inlineStr">
        <is>
          <t>INS_HENO</t>
        </is>
      </c>
      <c r="D69" t="inlineStr">
        <is>
          <t>Heno</t>
        </is>
      </c>
      <c r="E69" t="inlineStr">
        <is>
          <t>Arbol</t>
        </is>
      </c>
      <c r="F69" t="inlineStr">
        <is>
          <t>ARB_LIMON_MANDARINA_MORAVIA</t>
        </is>
      </c>
      <c r="G69" t="inlineStr">
        <is>
          <t>Limón mandarina - Moravia</t>
        </is>
      </c>
      <c r="H69" t="inlineStr">
        <is>
          <t>FIN_MORAVIA</t>
        </is>
      </c>
      <c r="I69" t="inlineStr">
        <is>
          <t>Moravia</t>
        </is>
      </c>
      <c r="N69" t="inlineStr">
        <is>
          <t>ARB_LIMON_MANDARINA_MORAVIA</t>
        </is>
      </c>
      <c r="O69" t="inlineStr">
        <is>
          <t>Limón mandarina</t>
        </is>
      </c>
      <c r="P69" s="26" t="n"/>
      <c r="Q69" s="26" t="n">
        <v>46133</v>
      </c>
      <c r="R69" t="inlineStr">
        <is>
          <t>Completado</t>
        </is>
      </c>
      <c r="S69" t="inlineStr">
        <is>
          <t>Cobertura con heno</t>
        </is>
      </c>
    </row>
    <row r="70">
      <c r="A70" t="inlineStr">
        <is>
          <t>EVT_0069</t>
        </is>
      </c>
      <c r="B70" t="inlineStr">
        <is>
          <t>Abono foliar</t>
        </is>
      </c>
      <c r="C70" t="inlineStr">
        <is>
          <t>INS_MULTIMINERAL</t>
        </is>
      </c>
      <c r="D70" t="inlineStr">
        <is>
          <t>Multimineral</t>
        </is>
      </c>
      <c r="E70" t="inlineStr">
        <is>
          <t>Arbol</t>
        </is>
      </c>
      <c r="F70" t="inlineStr">
        <is>
          <t>ARB_MANDARINA_MORAVIA</t>
        </is>
      </c>
      <c r="G70" t="inlineStr">
        <is>
          <t>Mandarina - Moravia</t>
        </is>
      </c>
      <c r="H70" t="inlineStr">
        <is>
          <t>FIN_MORAVIA</t>
        </is>
      </c>
      <c r="I70" t="inlineStr">
        <is>
          <t>Moravia</t>
        </is>
      </c>
      <c r="N70" t="inlineStr">
        <is>
          <t>ARB_MANDARINA_MORAVIA</t>
        </is>
      </c>
      <c r="O70" t="inlineStr">
        <is>
          <t>Mandarina</t>
        </is>
      </c>
      <c r="P70" s="26" t="n"/>
      <c r="Q70" s="26" t="n">
        <v>46142</v>
      </c>
      <c r="R70" t="inlineStr">
        <is>
          <t>Completado</t>
        </is>
      </c>
      <c r="S70" t="inlineStr">
        <is>
          <t>Abono foliar con Multimineral</t>
        </is>
      </c>
    </row>
    <row r="71">
      <c r="A71" t="inlineStr">
        <is>
          <t>EVT_0070</t>
        </is>
      </c>
      <c r="B71" t="inlineStr">
        <is>
          <t>Abono tierra</t>
        </is>
      </c>
      <c r="C71" t="inlineStr">
        <is>
          <t>INS_YARAMILA</t>
        </is>
      </c>
      <c r="D71" t="inlineStr">
        <is>
          <t>YaraMila</t>
        </is>
      </c>
      <c r="E71" t="inlineStr">
        <is>
          <t>Arbol</t>
        </is>
      </c>
      <c r="F71" t="inlineStr">
        <is>
          <t>ARB_MANDARINA_MORAVIA</t>
        </is>
      </c>
      <c r="G71" t="inlineStr">
        <is>
          <t>Mandarina - Moravia</t>
        </is>
      </c>
      <c r="H71" t="inlineStr">
        <is>
          <t>FIN_MORAVIA</t>
        </is>
      </c>
      <c r="I71" t="inlineStr">
        <is>
          <t>Moravia</t>
        </is>
      </c>
      <c r="N71" t="inlineStr">
        <is>
          <t>ARB_MANDARINA_MORAVIA</t>
        </is>
      </c>
      <c r="O71" t="inlineStr">
        <is>
          <t>Mandarina</t>
        </is>
      </c>
      <c r="P71" s="26" t="n"/>
      <c r="Q71" s="26" t="n">
        <v>46135</v>
      </c>
      <c r="R71" t="inlineStr">
        <is>
          <t>Completado</t>
        </is>
      </c>
      <c r="S71" t="inlineStr">
        <is>
          <t>Abono tierra con YaraMila</t>
        </is>
      </c>
    </row>
    <row r="72">
      <c r="A72" t="inlineStr">
        <is>
          <t>EVT_0071</t>
        </is>
      </c>
      <c r="B72" t="inlineStr">
        <is>
          <t>Control fitosanitario</t>
        </is>
      </c>
      <c r="C72" t="inlineStr">
        <is>
          <t>INS_MISTRAL</t>
        </is>
      </c>
      <c r="D72" t="inlineStr">
        <is>
          <t>Mistral</t>
        </is>
      </c>
      <c r="E72" t="inlineStr">
        <is>
          <t>Arbol</t>
        </is>
      </c>
      <c r="F72" t="inlineStr">
        <is>
          <t>ARB_MANDARINA_MORAVIA</t>
        </is>
      </c>
      <c r="G72" t="inlineStr">
        <is>
          <t>Mandarina - Moravia</t>
        </is>
      </c>
      <c r="H72" t="inlineStr">
        <is>
          <t>FIN_MORAVIA</t>
        </is>
      </c>
      <c r="I72" t="inlineStr">
        <is>
          <t>Moravia</t>
        </is>
      </c>
      <c r="N72" t="inlineStr">
        <is>
          <t>ARB_MANDARINA_MORAVIA</t>
        </is>
      </c>
      <c r="O72" t="inlineStr">
        <is>
          <t>Mandarina</t>
        </is>
      </c>
      <c r="P72" s="26" t="n"/>
      <c r="Q72" s="26" t="n">
        <v>46133</v>
      </c>
      <c r="R72" t="inlineStr">
        <is>
          <t>Completado</t>
        </is>
      </c>
      <c r="S72" t="inlineStr">
        <is>
          <t>Control fitosanitario con Mistral + PAS-80</t>
        </is>
      </c>
    </row>
    <row r="73">
      <c r="A73" t="inlineStr">
        <is>
          <t>EVT_0072</t>
        </is>
      </c>
      <c r="B73" t="inlineStr">
        <is>
          <t>Abono tierra</t>
        </is>
      </c>
      <c r="C73" t="inlineStr">
        <is>
          <t>INS_TIERRA_ABONADA</t>
        </is>
      </c>
      <c r="D73" t="inlineStr">
        <is>
          <t>Tierra abonada</t>
        </is>
      </c>
      <c r="E73" t="inlineStr">
        <is>
          <t>Arbol</t>
        </is>
      </c>
      <c r="F73" t="inlineStr">
        <is>
          <t>ARB_MANDARINA_MORAVIA</t>
        </is>
      </c>
      <c r="G73" t="inlineStr">
        <is>
          <t>Mandarina - Moravia</t>
        </is>
      </c>
      <c r="H73" t="inlineStr">
        <is>
          <t>FIN_MORAVIA</t>
        </is>
      </c>
      <c r="I73" t="inlineStr">
        <is>
          <t>Moravia</t>
        </is>
      </c>
      <c r="N73" t="inlineStr">
        <is>
          <t>ARB_MANDARINA_MORAVIA</t>
        </is>
      </c>
      <c r="O73" t="inlineStr">
        <is>
          <t>Mandarina</t>
        </is>
      </c>
      <c r="P73" s="26" t="n"/>
      <c r="Q73" s="26" t="n">
        <v>46133</v>
      </c>
      <c r="R73" t="inlineStr">
        <is>
          <t>Completado</t>
        </is>
      </c>
      <c r="S73" t="inlineStr">
        <is>
          <t>Abono con tierra abonada y heno</t>
        </is>
      </c>
    </row>
    <row r="74">
      <c r="A74" t="inlineStr">
        <is>
          <t>EVT_0073</t>
        </is>
      </c>
      <c r="B74" t="inlineStr">
        <is>
          <t>Abono tierra</t>
        </is>
      </c>
      <c r="C74" t="inlineStr">
        <is>
          <t>INS_HENO</t>
        </is>
      </c>
      <c r="D74" t="inlineStr">
        <is>
          <t>Heno</t>
        </is>
      </c>
      <c r="E74" t="inlineStr">
        <is>
          <t>Arbol</t>
        </is>
      </c>
      <c r="F74" t="inlineStr">
        <is>
          <t>ARB_MANDARINA_MORAVIA</t>
        </is>
      </c>
      <c r="G74" t="inlineStr">
        <is>
          <t>Mandarina - Moravia</t>
        </is>
      </c>
      <c r="H74" t="inlineStr">
        <is>
          <t>FIN_MORAVIA</t>
        </is>
      </c>
      <c r="I74" t="inlineStr">
        <is>
          <t>Moravia</t>
        </is>
      </c>
      <c r="N74" t="inlineStr">
        <is>
          <t>ARB_MANDARINA_MORAVIA</t>
        </is>
      </c>
      <c r="O74" t="inlineStr">
        <is>
          <t>Mandarina</t>
        </is>
      </c>
      <c r="P74" s="26" t="n"/>
      <c r="Q74" s="26" t="n">
        <v>46133</v>
      </c>
      <c r="R74" t="inlineStr">
        <is>
          <t>Completado</t>
        </is>
      </c>
      <c r="S74" t="inlineStr">
        <is>
          <t>Cobertura con heno</t>
        </is>
      </c>
    </row>
    <row r="75">
      <c r="A75" t="inlineStr">
        <is>
          <t>EVT_0074</t>
        </is>
      </c>
      <c r="B75" t="inlineStr">
        <is>
          <t>Abono foliar</t>
        </is>
      </c>
      <c r="C75" t="inlineStr">
        <is>
          <t>INS_MULTIMINERAL</t>
        </is>
      </c>
      <c r="D75" t="inlineStr">
        <is>
          <t>Multimineral</t>
        </is>
      </c>
      <c r="E75" t="inlineStr">
        <is>
          <t>Arbol</t>
        </is>
      </c>
      <c r="F75" t="inlineStr">
        <is>
          <t>ARB_MANZANO_TICO_MORAVIA</t>
        </is>
      </c>
      <c r="G75" t="inlineStr">
        <is>
          <t>Manzano tico - Moravia</t>
        </is>
      </c>
      <c r="H75" t="inlineStr">
        <is>
          <t>FIN_MORAVIA</t>
        </is>
      </c>
      <c r="I75" t="inlineStr">
        <is>
          <t>Moravia</t>
        </is>
      </c>
      <c r="N75" t="inlineStr">
        <is>
          <t>ARB_MANZANO_TICO_MORAVIA</t>
        </is>
      </c>
      <c r="O75" t="inlineStr">
        <is>
          <t>Manzano tico</t>
        </is>
      </c>
      <c r="P75" s="26" t="n"/>
      <c r="Q75" s="26" t="n">
        <v>46142</v>
      </c>
      <c r="R75" t="inlineStr">
        <is>
          <t>Completado</t>
        </is>
      </c>
      <c r="S75" t="inlineStr">
        <is>
          <t>Abono foliar con Multimineral</t>
        </is>
      </c>
    </row>
    <row r="76">
      <c r="A76" t="inlineStr">
        <is>
          <t>EVT_0075</t>
        </is>
      </c>
      <c r="B76" t="inlineStr">
        <is>
          <t>Abono tierra</t>
        </is>
      </c>
      <c r="C76" t="inlineStr">
        <is>
          <t>INS_YARAMILA</t>
        </is>
      </c>
      <c r="D76" t="inlineStr">
        <is>
          <t>YaraMila</t>
        </is>
      </c>
      <c r="E76" t="inlineStr">
        <is>
          <t>Arbol</t>
        </is>
      </c>
      <c r="F76" t="inlineStr">
        <is>
          <t>ARB_MANZANO_TICO_MORAVIA</t>
        </is>
      </c>
      <c r="G76" t="inlineStr">
        <is>
          <t>Manzano tico - Moravia</t>
        </is>
      </c>
      <c r="H76" t="inlineStr">
        <is>
          <t>FIN_MORAVIA</t>
        </is>
      </c>
      <c r="I76" t="inlineStr">
        <is>
          <t>Moravia</t>
        </is>
      </c>
      <c r="N76" t="inlineStr">
        <is>
          <t>ARB_MANZANO_TICO_MORAVIA</t>
        </is>
      </c>
      <c r="O76" t="inlineStr">
        <is>
          <t>Manzano tico</t>
        </is>
      </c>
      <c r="P76" s="26" t="n"/>
      <c r="Q76" s="26" t="n">
        <v>46135</v>
      </c>
      <c r="R76" t="inlineStr">
        <is>
          <t>Completado</t>
        </is>
      </c>
      <c r="S76" t="inlineStr">
        <is>
          <t>Abono tierra con YaraMila</t>
        </is>
      </c>
    </row>
    <row r="77">
      <c r="A77" t="inlineStr">
        <is>
          <t>EVT_0076</t>
        </is>
      </c>
      <c r="B77" t="inlineStr">
        <is>
          <t>Control fitosanitario</t>
        </is>
      </c>
      <c r="C77" t="inlineStr">
        <is>
          <t>INS_MISTRAL</t>
        </is>
      </c>
      <c r="D77" t="inlineStr">
        <is>
          <t>Mistral</t>
        </is>
      </c>
      <c r="E77" t="inlineStr">
        <is>
          <t>Arbol</t>
        </is>
      </c>
      <c r="F77" t="inlineStr">
        <is>
          <t>ARB_MANZANO_TICO_MORAVIA</t>
        </is>
      </c>
      <c r="G77" t="inlineStr">
        <is>
          <t>Manzano tico - Moravia</t>
        </is>
      </c>
      <c r="H77" t="inlineStr">
        <is>
          <t>FIN_MORAVIA</t>
        </is>
      </c>
      <c r="I77" t="inlineStr">
        <is>
          <t>Moravia</t>
        </is>
      </c>
      <c r="N77" t="inlineStr">
        <is>
          <t>ARB_MANZANO_TICO_MORAVIA</t>
        </is>
      </c>
      <c r="O77" t="inlineStr">
        <is>
          <t>Manzano tico</t>
        </is>
      </c>
      <c r="P77" s="26" t="n"/>
      <c r="Q77" s="26" t="n">
        <v>46133</v>
      </c>
      <c r="R77" t="inlineStr">
        <is>
          <t>Completado</t>
        </is>
      </c>
      <c r="S77" t="inlineStr">
        <is>
          <t>Control fitosanitario con Mistral + PAS-80</t>
        </is>
      </c>
    </row>
    <row r="78">
      <c r="A78" t="inlineStr">
        <is>
          <t>EVT_0077</t>
        </is>
      </c>
      <c r="B78" t="inlineStr">
        <is>
          <t>Abono tierra</t>
        </is>
      </c>
      <c r="C78" t="inlineStr">
        <is>
          <t>INS_TIERRA_ABONADA</t>
        </is>
      </c>
      <c r="D78" t="inlineStr">
        <is>
          <t>Tierra abonada</t>
        </is>
      </c>
      <c r="E78" t="inlineStr">
        <is>
          <t>Arbol</t>
        </is>
      </c>
      <c r="F78" t="inlineStr">
        <is>
          <t>ARB_MANZANO_TICO_MORAVIA</t>
        </is>
      </c>
      <c r="G78" t="inlineStr">
        <is>
          <t>Manzano tico - Moravia</t>
        </is>
      </c>
      <c r="H78" t="inlineStr">
        <is>
          <t>FIN_MORAVIA</t>
        </is>
      </c>
      <c r="I78" t="inlineStr">
        <is>
          <t>Moravia</t>
        </is>
      </c>
      <c r="N78" t="inlineStr">
        <is>
          <t>ARB_MANZANO_TICO_MORAVIA</t>
        </is>
      </c>
      <c r="O78" t="inlineStr">
        <is>
          <t>Manzano tico</t>
        </is>
      </c>
      <c r="P78" s="26" t="n"/>
      <c r="Q78" s="26" t="n">
        <v>46133</v>
      </c>
      <c r="R78" t="inlineStr">
        <is>
          <t>Completado</t>
        </is>
      </c>
      <c r="S78" t="inlineStr">
        <is>
          <t>Abono con tierra abonada y heno</t>
        </is>
      </c>
    </row>
    <row r="79">
      <c r="A79" t="inlineStr">
        <is>
          <t>EVT_0078</t>
        </is>
      </c>
      <c r="B79" t="inlineStr">
        <is>
          <t>Abono tierra</t>
        </is>
      </c>
      <c r="C79" t="inlineStr">
        <is>
          <t>INS_HENO</t>
        </is>
      </c>
      <c r="D79" t="inlineStr">
        <is>
          <t>Heno</t>
        </is>
      </c>
      <c r="E79" t="inlineStr">
        <is>
          <t>Arbol</t>
        </is>
      </c>
      <c r="F79" t="inlineStr">
        <is>
          <t>ARB_MANZANO_TICO_MORAVIA</t>
        </is>
      </c>
      <c r="G79" t="inlineStr">
        <is>
          <t>Manzano tico - Moravia</t>
        </is>
      </c>
      <c r="H79" t="inlineStr">
        <is>
          <t>FIN_MORAVIA</t>
        </is>
      </c>
      <c r="I79" t="inlineStr">
        <is>
          <t>Moravia</t>
        </is>
      </c>
      <c r="N79" t="inlineStr">
        <is>
          <t>ARB_MANZANO_TICO_MORAVIA</t>
        </is>
      </c>
      <c r="O79" t="inlineStr">
        <is>
          <t>Manzano tico</t>
        </is>
      </c>
      <c r="P79" s="26" t="n"/>
      <c r="Q79" s="26" t="n">
        <v>46133</v>
      </c>
      <c r="R79" t="inlineStr">
        <is>
          <t>Completado</t>
        </is>
      </c>
      <c r="S79" t="inlineStr">
        <is>
          <t>Cobertura con heno</t>
        </is>
      </c>
    </row>
    <row r="80">
      <c r="A80" t="inlineStr">
        <is>
          <t>EVT_0079</t>
        </is>
      </c>
      <c r="B80" t="inlineStr">
        <is>
          <t>Abono foliar</t>
        </is>
      </c>
      <c r="C80" t="inlineStr">
        <is>
          <t>INS_MULTIMINERAL</t>
        </is>
      </c>
      <c r="D80" t="inlineStr">
        <is>
          <t>Multimineral</t>
        </is>
      </c>
      <c r="E80" t="inlineStr">
        <is>
          <t>Arbol</t>
        </is>
      </c>
      <c r="F80" t="inlineStr">
        <is>
          <t>ARB_NARANJA_WASHINGTON_MORAVIA</t>
        </is>
      </c>
      <c r="G80" t="inlineStr">
        <is>
          <t>Naranja Washington - Moravia</t>
        </is>
      </c>
      <c r="H80" t="inlineStr">
        <is>
          <t>FIN_MORAVIA</t>
        </is>
      </c>
      <c r="I80" t="inlineStr">
        <is>
          <t>Moravia</t>
        </is>
      </c>
      <c r="N80" t="inlineStr">
        <is>
          <t>ARB_NARANJA_WASHINGTON_MORAVIA</t>
        </is>
      </c>
      <c r="O80" t="inlineStr">
        <is>
          <t>Naranja Washington</t>
        </is>
      </c>
      <c r="P80" s="26" t="n"/>
      <c r="Q80" s="26" t="n">
        <v>46142</v>
      </c>
      <c r="R80" t="inlineStr">
        <is>
          <t>Completado</t>
        </is>
      </c>
      <c r="S80" t="inlineStr">
        <is>
          <t>Abono foliar con Multimineral</t>
        </is>
      </c>
    </row>
    <row r="81">
      <c r="A81" t="inlineStr">
        <is>
          <t>EVT_0080</t>
        </is>
      </c>
      <c r="B81" t="inlineStr">
        <is>
          <t>Abono tierra</t>
        </is>
      </c>
      <c r="C81" t="inlineStr">
        <is>
          <t>INS_YARAMILA</t>
        </is>
      </c>
      <c r="D81" t="inlineStr">
        <is>
          <t>YaraMila</t>
        </is>
      </c>
      <c r="E81" t="inlineStr">
        <is>
          <t>Arbol</t>
        </is>
      </c>
      <c r="F81" t="inlineStr">
        <is>
          <t>ARB_NARANJA_WASHINGTON_MORAVIA</t>
        </is>
      </c>
      <c r="G81" t="inlineStr">
        <is>
          <t>Naranja Washington - Moravia</t>
        </is>
      </c>
      <c r="H81" t="inlineStr">
        <is>
          <t>FIN_MORAVIA</t>
        </is>
      </c>
      <c r="I81" t="inlineStr">
        <is>
          <t>Moravia</t>
        </is>
      </c>
      <c r="N81" t="inlineStr">
        <is>
          <t>ARB_NARANJA_WASHINGTON_MORAVIA</t>
        </is>
      </c>
      <c r="O81" t="inlineStr">
        <is>
          <t>Naranja Washington</t>
        </is>
      </c>
      <c r="P81" s="26" t="n"/>
      <c r="Q81" s="26" t="n">
        <v>46135</v>
      </c>
      <c r="R81" t="inlineStr">
        <is>
          <t>Completado</t>
        </is>
      </c>
      <c r="S81" t="inlineStr">
        <is>
          <t>Abono tierra con YaraMila</t>
        </is>
      </c>
    </row>
    <row r="82">
      <c r="A82" t="inlineStr">
        <is>
          <t>EVT_0081</t>
        </is>
      </c>
      <c r="B82" t="inlineStr">
        <is>
          <t>Control fitosanitario</t>
        </is>
      </c>
      <c r="C82" t="inlineStr">
        <is>
          <t>INS_MISTRAL</t>
        </is>
      </c>
      <c r="D82" t="inlineStr">
        <is>
          <t>Mistral</t>
        </is>
      </c>
      <c r="E82" t="inlineStr">
        <is>
          <t>Arbol</t>
        </is>
      </c>
      <c r="F82" t="inlineStr">
        <is>
          <t>ARB_NARANJA_WASHINGTON_MORAVIA</t>
        </is>
      </c>
      <c r="G82" t="inlineStr">
        <is>
          <t>Naranja Washington - Moravia</t>
        </is>
      </c>
      <c r="H82" t="inlineStr">
        <is>
          <t>FIN_MORAVIA</t>
        </is>
      </c>
      <c r="I82" t="inlineStr">
        <is>
          <t>Moravia</t>
        </is>
      </c>
      <c r="N82" t="inlineStr">
        <is>
          <t>ARB_NARANJA_WASHINGTON_MORAVIA</t>
        </is>
      </c>
      <c r="O82" t="inlineStr">
        <is>
          <t>Naranja Washington</t>
        </is>
      </c>
      <c r="P82" s="26" t="n"/>
      <c r="Q82" s="26" t="n">
        <v>46133</v>
      </c>
      <c r="R82" t="inlineStr">
        <is>
          <t>Completado</t>
        </is>
      </c>
      <c r="S82" t="inlineStr">
        <is>
          <t>Control fitosanitario con Mistral + PAS-80</t>
        </is>
      </c>
    </row>
    <row r="83">
      <c r="A83" t="inlineStr">
        <is>
          <t>EVT_0082</t>
        </is>
      </c>
      <c r="B83" t="inlineStr">
        <is>
          <t>Abono tierra</t>
        </is>
      </c>
      <c r="C83" t="inlineStr">
        <is>
          <t>INS_TIERRA_ABONADA</t>
        </is>
      </c>
      <c r="D83" t="inlineStr">
        <is>
          <t>Tierra abonada</t>
        </is>
      </c>
      <c r="E83" t="inlineStr">
        <is>
          <t>Arbol</t>
        </is>
      </c>
      <c r="F83" t="inlineStr">
        <is>
          <t>ARB_NARANJA_WASHINGTON_MORAVIA</t>
        </is>
      </c>
      <c r="G83" t="inlineStr">
        <is>
          <t>Naranja Washington - Moravia</t>
        </is>
      </c>
      <c r="H83" t="inlineStr">
        <is>
          <t>FIN_MORAVIA</t>
        </is>
      </c>
      <c r="I83" t="inlineStr">
        <is>
          <t>Moravia</t>
        </is>
      </c>
      <c r="N83" t="inlineStr">
        <is>
          <t>ARB_NARANJA_WASHINGTON_MORAVIA</t>
        </is>
      </c>
      <c r="O83" t="inlineStr">
        <is>
          <t>Naranja Washington</t>
        </is>
      </c>
      <c r="P83" s="26" t="n"/>
      <c r="Q83" s="26" t="n">
        <v>46133</v>
      </c>
      <c r="R83" t="inlineStr">
        <is>
          <t>Completado</t>
        </is>
      </c>
      <c r="S83" t="inlineStr">
        <is>
          <t>Abono con tierra abonada y heno</t>
        </is>
      </c>
    </row>
    <row r="84">
      <c r="A84" t="inlineStr">
        <is>
          <t>EVT_0083</t>
        </is>
      </c>
      <c r="B84" t="inlineStr">
        <is>
          <t>Abono tierra</t>
        </is>
      </c>
      <c r="C84" t="inlineStr">
        <is>
          <t>INS_HENO</t>
        </is>
      </c>
      <c r="D84" t="inlineStr">
        <is>
          <t>Heno</t>
        </is>
      </c>
      <c r="E84" t="inlineStr">
        <is>
          <t>Arbol</t>
        </is>
      </c>
      <c r="F84" t="inlineStr">
        <is>
          <t>ARB_NARANJA_WASHINGTON_MORAVIA</t>
        </is>
      </c>
      <c r="G84" t="inlineStr">
        <is>
          <t>Naranja Washington - Moravia</t>
        </is>
      </c>
      <c r="H84" t="inlineStr">
        <is>
          <t>FIN_MORAVIA</t>
        </is>
      </c>
      <c r="I84" t="inlineStr">
        <is>
          <t>Moravia</t>
        </is>
      </c>
      <c r="N84" t="inlineStr">
        <is>
          <t>ARB_NARANJA_WASHINGTON_MORAVIA</t>
        </is>
      </c>
      <c r="O84" t="inlineStr">
        <is>
          <t>Naranja Washington</t>
        </is>
      </c>
      <c r="P84" s="26" t="n"/>
      <c r="Q84" s="26" t="n">
        <v>46133</v>
      </c>
      <c r="R84" t="inlineStr">
        <is>
          <t>Completado</t>
        </is>
      </c>
      <c r="S84" t="inlineStr">
        <is>
          <t>Cobertura con heno</t>
        </is>
      </c>
    </row>
    <row r="85">
      <c r="A85" t="inlineStr">
        <is>
          <t>EVT_0084</t>
        </is>
      </c>
      <c r="B85" t="inlineStr">
        <is>
          <t>Poda</t>
        </is>
      </c>
      <c r="E85" t="inlineStr">
        <is>
          <t>Arbol</t>
        </is>
      </c>
      <c r="F85" t="inlineStr">
        <is>
          <t>ARB_MANZANO_TICO_MORAVIA</t>
        </is>
      </c>
      <c r="G85" t="inlineStr">
        <is>
          <t>Manzano tico - Moravia</t>
        </is>
      </c>
      <c r="H85" t="inlineStr">
        <is>
          <t>FIN_MORAVIA</t>
        </is>
      </c>
      <c r="I85" t="inlineStr">
        <is>
          <t>Moravia</t>
        </is>
      </c>
      <c r="N85" t="inlineStr">
        <is>
          <t>ARB_MANZANO_TICO_MORAVIA</t>
        </is>
      </c>
      <c r="O85" t="inlineStr">
        <is>
          <t>Manzano tico</t>
        </is>
      </c>
      <c r="P85" s="26" t="n"/>
      <c r="Q85" s="26" t="n">
        <v>46096</v>
      </c>
      <c r="R85" t="inlineStr">
        <is>
          <t>Completado</t>
        </is>
      </c>
      <c r="S85" t="inlineStr">
        <is>
          <t>Poda Manzano Moravia</t>
        </is>
      </c>
    </row>
    <row r="86">
      <c r="A86" t="inlineStr">
        <is>
          <t>EVT_0085</t>
        </is>
      </c>
      <c r="B86" t="inlineStr">
        <is>
          <t>Poda</t>
        </is>
      </c>
      <c r="E86" t="inlineStr">
        <is>
          <t>Arbol</t>
        </is>
      </c>
      <c r="F86" t="inlineStr">
        <is>
          <t>ARB_MANZANO_TICO_MORAVIA</t>
        </is>
      </c>
      <c r="G86" t="inlineStr">
        <is>
          <t>Manzano tico - Moravia</t>
        </is>
      </c>
      <c r="H86" t="inlineStr">
        <is>
          <t>FIN_MORAVIA</t>
        </is>
      </c>
      <c r="I86" t="inlineStr">
        <is>
          <t>Moravia</t>
        </is>
      </c>
      <c r="N86" t="inlineStr">
        <is>
          <t>ARB_MANZANO_TICO_MORAVIA</t>
        </is>
      </c>
      <c r="O86" t="inlineStr">
        <is>
          <t>Manzano tico</t>
        </is>
      </c>
      <c r="P86" s="26" t="n"/>
      <c r="Q86" s="26" t="n">
        <v>46155</v>
      </c>
      <c r="R86" t="inlineStr">
        <is>
          <t>Completado</t>
        </is>
      </c>
      <c r="S86" t="inlineStr">
        <is>
          <t>Poda Manzano Moravia</t>
        </is>
      </c>
    </row>
    <row r="87">
      <c r="A87" t="inlineStr">
        <is>
          <t>EVT_0086</t>
        </is>
      </c>
      <c r="B87" t="inlineStr">
        <is>
          <t>Abono tierra</t>
        </is>
      </c>
      <c r="C87" t="inlineStr">
        <is>
          <t>INS_TIERRA_ABONADA</t>
        </is>
      </c>
      <c r="D87" t="inlineStr">
        <is>
          <t>Tierra abonada</t>
        </is>
      </c>
      <c r="E87" t="inlineStr">
        <is>
          <t>Arbol</t>
        </is>
      </c>
      <c r="F87" t="inlineStr">
        <is>
          <t>ARB_ANONA_FRAILES</t>
        </is>
      </c>
      <c r="G87" t="inlineStr">
        <is>
          <t>Anona - Frailes</t>
        </is>
      </c>
      <c r="H87" t="inlineStr">
        <is>
          <t>FIN_FRAILES</t>
        </is>
      </c>
      <c r="I87" t="inlineStr">
        <is>
          <t>Frailes</t>
        </is>
      </c>
      <c r="N87" t="inlineStr">
        <is>
          <t>ARB_ANONA_FRAILES</t>
        </is>
      </c>
      <c r="O87" t="inlineStr">
        <is>
          <t>Anona</t>
        </is>
      </c>
      <c r="P87" s="26" t="n"/>
      <c r="Q87" s="26" t="n">
        <v>46174</v>
      </c>
      <c r="R87" t="inlineStr">
        <is>
          <t>Completado</t>
        </is>
      </c>
      <c r="S87" t="inlineStr">
        <is>
          <t>Abono con tierra abonada y heno</t>
        </is>
      </c>
    </row>
    <row r="88">
      <c r="A88" t="inlineStr">
        <is>
          <t>EVT_0087</t>
        </is>
      </c>
      <c r="B88" t="inlineStr">
        <is>
          <t>Abono tierra</t>
        </is>
      </c>
      <c r="C88" t="inlineStr">
        <is>
          <t>INS_HENO</t>
        </is>
      </c>
      <c r="D88" t="inlineStr">
        <is>
          <t>Heno</t>
        </is>
      </c>
      <c r="E88" t="inlineStr">
        <is>
          <t>Arbol</t>
        </is>
      </c>
      <c r="F88" t="inlineStr">
        <is>
          <t>ARB_ANONA_FRAILES</t>
        </is>
      </c>
      <c r="G88" t="inlineStr">
        <is>
          <t>Anona - Frailes</t>
        </is>
      </c>
      <c r="H88" t="inlineStr">
        <is>
          <t>FIN_FRAILES</t>
        </is>
      </c>
      <c r="I88" t="inlineStr">
        <is>
          <t>Frailes</t>
        </is>
      </c>
      <c r="N88" t="inlineStr">
        <is>
          <t>ARB_ANONA_FRAILES</t>
        </is>
      </c>
      <c r="O88" t="inlineStr">
        <is>
          <t>Anona</t>
        </is>
      </c>
      <c r="P88" s="26" t="n"/>
      <c r="Q88" s="26" t="n">
        <v>46174</v>
      </c>
      <c r="R88" t="inlineStr">
        <is>
          <t>Completado</t>
        </is>
      </c>
      <c r="S88" t="inlineStr">
        <is>
          <t>Cobertura con heno</t>
        </is>
      </c>
    </row>
    <row r="89">
      <c r="A89" t="inlineStr">
        <is>
          <t>EVT_0088</t>
        </is>
      </c>
      <c r="B89" t="inlineStr">
        <is>
          <t>Abono tierra</t>
        </is>
      </c>
      <c r="C89" t="inlineStr">
        <is>
          <t>INS_TIERRA_ABONADA</t>
        </is>
      </c>
      <c r="D89" t="inlineStr">
        <is>
          <t>Tierra abonada</t>
        </is>
      </c>
      <c r="E89" t="inlineStr">
        <is>
          <t>Arbol</t>
        </is>
      </c>
      <c r="F89" t="inlineStr">
        <is>
          <t>ARB_LIMON_DULCE_FRAILES</t>
        </is>
      </c>
      <c r="G89" t="inlineStr">
        <is>
          <t>Limón dulce - Frailes</t>
        </is>
      </c>
      <c r="H89" t="inlineStr">
        <is>
          <t>FIN_FRAILES</t>
        </is>
      </c>
      <c r="I89" t="inlineStr">
        <is>
          <t>Frailes</t>
        </is>
      </c>
      <c r="N89" t="inlineStr">
        <is>
          <t>ARB_LIMON_DULCE_FRAILES</t>
        </is>
      </c>
      <c r="O89" t="inlineStr">
        <is>
          <t>Limón dulce</t>
        </is>
      </c>
      <c r="P89" s="26" t="n"/>
      <c r="Q89" s="26" t="n">
        <v>46174</v>
      </c>
      <c r="R89" t="inlineStr">
        <is>
          <t>Completado</t>
        </is>
      </c>
      <c r="S89" t="inlineStr">
        <is>
          <t>Abono con tierra abonada y heno</t>
        </is>
      </c>
    </row>
    <row r="90">
      <c r="A90" t="inlineStr">
        <is>
          <t>EVT_0089</t>
        </is>
      </c>
      <c r="B90" t="inlineStr">
        <is>
          <t>Abono tierra</t>
        </is>
      </c>
      <c r="C90" t="inlineStr">
        <is>
          <t>INS_HENO</t>
        </is>
      </c>
      <c r="D90" t="inlineStr">
        <is>
          <t>Heno</t>
        </is>
      </c>
      <c r="E90" t="inlineStr">
        <is>
          <t>Arbol</t>
        </is>
      </c>
      <c r="F90" t="inlineStr">
        <is>
          <t>ARB_LIMON_DULCE_FRAILES</t>
        </is>
      </c>
      <c r="G90" t="inlineStr">
        <is>
          <t>Limón dulce - Frailes</t>
        </is>
      </c>
      <c r="H90" t="inlineStr">
        <is>
          <t>FIN_FRAILES</t>
        </is>
      </c>
      <c r="I90" t="inlineStr">
        <is>
          <t>Frailes</t>
        </is>
      </c>
      <c r="N90" t="inlineStr">
        <is>
          <t>ARB_LIMON_DULCE_FRAILES</t>
        </is>
      </c>
      <c r="O90" t="inlineStr">
        <is>
          <t>Limón dulce</t>
        </is>
      </c>
      <c r="P90" s="26" t="n"/>
      <c r="Q90" s="26" t="n">
        <v>46174</v>
      </c>
      <c r="R90" t="inlineStr">
        <is>
          <t>Completado</t>
        </is>
      </c>
      <c r="S90" t="inlineStr">
        <is>
          <t>Cobertura con heno</t>
        </is>
      </c>
    </row>
    <row r="91">
      <c r="A91" t="inlineStr">
        <is>
          <t>EVT_0090</t>
        </is>
      </c>
      <c r="B91" t="inlineStr">
        <is>
          <t>Abono tierra</t>
        </is>
      </c>
      <c r="C91" t="inlineStr">
        <is>
          <t>INS_TIERRA_ABONADA</t>
        </is>
      </c>
      <c r="D91" t="inlineStr">
        <is>
          <t>Tierra abonada</t>
        </is>
      </c>
      <c r="E91" t="inlineStr">
        <is>
          <t>Arbol</t>
        </is>
      </c>
      <c r="F91" t="inlineStr">
        <is>
          <t>ARB_LIMON_MANDARINA_FRAILES</t>
        </is>
      </c>
      <c r="G91" t="inlineStr">
        <is>
          <t>Limón mandarina - Frailes</t>
        </is>
      </c>
      <c r="H91" t="inlineStr">
        <is>
          <t>FIN_FRAILES</t>
        </is>
      </c>
      <c r="I91" t="inlineStr">
        <is>
          <t>Frailes</t>
        </is>
      </c>
      <c r="N91" t="inlineStr">
        <is>
          <t>ARB_LIMON_MANDARINA_FRAILES</t>
        </is>
      </c>
      <c r="O91" t="inlineStr">
        <is>
          <t>Limón mandarina</t>
        </is>
      </c>
      <c r="P91" s="26" t="n"/>
      <c r="Q91" s="26" t="n">
        <v>46174</v>
      </c>
      <c r="R91" t="inlineStr">
        <is>
          <t>Completado</t>
        </is>
      </c>
      <c r="S91" t="inlineStr">
        <is>
          <t>Abono con tierra abonada y heno</t>
        </is>
      </c>
    </row>
    <row r="92">
      <c r="A92" t="inlineStr">
        <is>
          <t>EVT_0091</t>
        </is>
      </c>
      <c r="B92" t="inlineStr">
        <is>
          <t>Abono tierra</t>
        </is>
      </c>
      <c r="C92" t="inlineStr">
        <is>
          <t>INS_HENO</t>
        </is>
      </c>
      <c r="D92" t="inlineStr">
        <is>
          <t>Heno</t>
        </is>
      </c>
      <c r="E92" t="inlineStr">
        <is>
          <t>Arbol</t>
        </is>
      </c>
      <c r="F92" t="inlineStr">
        <is>
          <t>ARB_LIMON_MANDARINA_FRAILES</t>
        </is>
      </c>
      <c r="G92" t="inlineStr">
        <is>
          <t>Limón mandarina - Frailes</t>
        </is>
      </c>
      <c r="H92" t="inlineStr">
        <is>
          <t>FIN_FRAILES</t>
        </is>
      </c>
      <c r="I92" t="inlineStr">
        <is>
          <t>Frailes</t>
        </is>
      </c>
      <c r="N92" t="inlineStr">
        <is>
          <t>ARB_LIMON_MANDARINA_FRAILES</t>
        </is>
      </c>
      <c r="O92" t="inlineStr">
        <is>
          <t>Limón mandarina</t>
        </is>
      </c>
      <c r="P92" s="26" t="n"/>
      <c r="Q92" s="26" t="n">
        <v>46174</v>
      </c>
      <c r="R92" t="inlineStr">
        <is>
          <t>Completado</t>
        </is>
      </c>
      <c r="S92" t="inlineStr">
        <is>
          <t>Cobertura con heno</t>
        </is>
      </c>
    </row>
    <row r="93">
      <c r="A93" t="inlineStr">
        <is>
          <t>EVT_0092</t>
        </is>
      </c>
      <c r="B93" t="inlineStr">
        <is>
          <t>Abono tierra</t>
        </is>
      </c>
      <c r="C93" t="inlineStr">
        <is>
          <t>INS_TIERRA_ABONADA</t>
        </is>
      </c>
      <c r="D93" t="inlineStr">
        <is>
          <t>Tierra abonada</t>
        </is>
      </c>
      <c r="E93" t="inlineStr">
        <is>
          <t>Arbol</t>
        </is>
      </c>
      <c r="F93" t="inlineStr">
        <is>
          <t>ARB_LIMON_MANDARINA_INJERTADO_FRAILES</t>
        </is>
      </c>
      <c r="G93" t="inlineStr">
        <is>
          <t>Limón mandarina injertado - Frailes</t>
        </is>
      </c>
      <c r="H93" t="inlineStr">
        <is>
          <t>FIN_FRAILES</t>
        </is>
      </c>
      <c r="I93" t="inlineStr">
        <is>
          <t>Frailes</t>
        </is>
      </c>
      <c r="N93" t="inlineStr">
        <is>
          <t>ARB_LIMON_MANDARINA_INJERTADO_FRAILES</t>
        </is>
      </c>
      <c r="O93" t="inlineStr">
        <is>
          <t>Limón mandarina injertado</t>
        </is>
      </c>
      <c r="P93" s="26" t="n"/>
      <c r="Q93" s="26" t="n">
        <v>46174</v>
      </c>
      <c r="R93" t="inlineStr">
        <is>
          <t>Completado</t>
        </is>
      </c>
      <c r="S93" t="inlineStr">
        <is>
          <t>Abono con tierra abonada y heno</t>
        </is>
      </c>
    </row>
    <row r="94">
      <c r="A94" t="inlineStr">
        <is>
          <t>EVT_0093</t>
        </is>
      </c>
      <c r="B94" t="inlineStr">
        <is>
          <t>Abono tierra</t>
        </is>
      </c>
      <c r="C94" t="inlineStr">
        <is>
          <t>INS_HENO</t>
        </is>
      </c>
      <c r="D94" t="inlineStr">
        <is>
          <t>Heno</t>
        </is>
      </c>
      <c r="E94" t="inlineStr">
        <is>
          <t>Arbol</t>
        </is>
      </c>
      <c r="F94" t="inlineStr">
        <is>
          <t>ARB_LIMON_MANDARINA_INJERTADO_FRAILES</t>
        </is>
      </c>
      <c r="G94" t="inlineStr">
        <is>
          <t>Limón mandarina injertado - Frailes</t>
        </is>
      </c>
      <c r="H94" t="inlineStr">
        <is>
          <t>FIN_FRAILES</t>
        </is>
      </c>
      <c r="I94" t="inlineStr">
        <is>
          <t>Frailes</t>
        </is>
      </c>
      <c r="N94" t="inlineStr">
        <is>
          <t>ARB_LIMON_MANDARINA_INJERTADO_FRAILES</t>
        </is>
      </c>
      <c r="O94" t="inlineStr">
        <is>
          <t>Limón mandarina injertado</t>
        </is>
      </c>
      <c r="P94" s="26" t="n"/>
      <c r="Q94" s="26" t="n">
        <v>46174</v>
      </c>
      <c r="R94" t="inlineStr">
        <is>
          <t>Completado</t>
        </is>
      </c>
      <c r="S94" t="inlineStr">
        <is>
          <t>Cobertura con heno</t>
        </is>
      </c>
    </row>
    <row r="95">
      <c r="A95" t="inlineStr">
        <is>
          <t>EVT_0094</t>
        </is>
      </c>
      <c r="B95" t="inlineStr">
        <is>
          <t>Abono tierra</t>
        </is>
      </c>
      <c r="C95" t="inlineStr">
        <is>
          <t>INS_TIERRA_ABONADA</t>
        </is>
      </c>
      <c r="D95" t="inlineStr">
        <is>
          <t>Tierra abonada</t>
        </is>
      </c>
      <c r="E95" t="inlineStr">
        <is>
          <t>Arbol</t>
        </is>
      </c>
      <c r="F95" t="inlineStr">
        <is>
          <t>ARB_LIMON_MESINO_FRAILES</t>
        </is>
      </c>
      <c r="G95" t="inlineStr">
        <is>
          <t>Limón mesino - Frailes</t>
        </is>
      </c>
      <c r="H95" t="inlineStr">
        <is>
          <t>FIN_FRAILES</t>
        </is>
      </c>
      <c r="I95" t="inlineStr">
        <is>
          <t>Frailes</t>
        </is>
      </c>
      <c r="N95" t="inlineStr">
        <is>
          <t>ARB_LIMON_MESINO_FRAILES</t>
        </is>
      </c>
      <c r="O95" t="inlineStr">
        <is>
          <t>Limón mesino</t>
        </is>
      </c>
      <c r="P95" s="26" t="n"/>
      <c r="Q95" s="26" t="n">
        <v>46174</v>
      </c>
      <c r="R95" t="inlineStr">
        <is>
          <t>Completado</t>
        </is>
      </c>
      <c r="S95" t="inlineStr">
        <is>
          <t>Abono con tierra abonada y heno</t>
        </is>
      </c>
    </row>
    <row r="96">
      <c r="A96" t="inlineStr">
        <is>
          <t>EVT_0095</t>
        </is>
      </c>
      <c r="B96" t="inlineStr">
        <is>
          <t>Abono tierra</t>
        </is>
      </c>
      <c r="C96" t="inlineStr">
        <is>
          <t>INS_HENO</t>
        </is>
      </c>
      <c r="D96" t="inlineStr">
        <is>
          <t>Heno</t>
        </is>
      </c>
      <c r="E96" t="inlineStr">
        <is>
          <t>Arbol</t>
        </is>
      </c>
      <c r="F96" t="inlineStr">
        <is>
          <t>ARB_LIMON_MESINO_FRAILES</t>
        </is>
      </c>
      <c r="G96" t="inlineStr">
        <is>
          <t>Limón mesino - Frailes</t>
        </is>
      </c>
      <c r="H96" t="inlineStr">
        <is>
          <t>FIN_FRAILES</t>
        </is>
      </c>
      <c r="I96" t="inlineStr">
        <is>
          <t>Frailes</t>
        </is>
      </c>
      <c r="N96" t="inlineStr">
        <is>
          <t>ARB_LIMON_MESINO_FRAILES</t>
        </is>
      </c>
      <c r="O96" t="inlineStr">
        <is>
          <t>Limón mesino</t>
        </is>
      </c>
      <c r="P96" s="26" t="n"/>
      <c r="Q96" s="26" t="n">
        <v>46174</v>
      </c>
      <c r="R96" t="inlineStr">
        <is>
          <t>Completado</t>
        </is>
      </c>
      <c r="S96" t="inlineStr">
        <is>
          <t>Cobertura con heno</t>
        </is>
      </c>
    </row>
    <row r="97">
      <c r="A97" t="inlineStr">
        <is>
          <t>EVT_0096</t>
        </is>
      </c>
      <c r="B97" t="inlineStr">
        <is>
          <t>Abono tierra</t>
        </is>
      </c>
      <c r="C97" t="inlineStr">
        <is>
          <t>INS_TIERRA_ABONADA</t>
        </is>
      </c>
      <c r="D97" t="inlineStr">
        <is>
          <t>Tierra abonada</t>
        </is>
      </c>
      <c r="E97" t="inlineStr">
        <is>
          <t>Arbol</t>
        </is>
      </c>
      <c r="F97" t="inlineStr">
        <is>
          <t>ARB_LIMON_MESINO_INJERTADO_FRAILES</t>
        </is>
      </c>
      <c r="G97" t="inlineStr">
        <is>
          <t>Limón mesino injertado - Frailes</t>
        </is>
      </c>
      <c r="H97" t="inlineStr">
        <is>
          <t>FIN_FRAILES</t>
        </is>
      </c>
      <c r="I97" t="inlineStr">
        <is>
          <t>Frailes</t>
        </is>
      </c>
      <c r="N97" t="inlineStr">
        <is>
          <t>ARB_LIMON_MESINO_INJERTADO_FRAILES</t>
        </is>
      </c>
      <c r="O97" t="inlineStr">
        <is>
          <t>Limón mesino injertado</t>
        </is>
      </c>
      <c r="P97" s="26" t="n"/>
      <c r="Q97" s="26" t="n">
        <v>46174</v>
      </c>
      <c r="R97" t="inlineStr">
        <is>
          <t>Completado</t>
        </is>
      </c>
      <c r="S97" t="inlineStr">
        <is>
          <t>Abono con tierra abonada y heno</t>
        </is>
      </c>
    </row>
    <row r="98">
      <c r="A98" t="inlineStr">
        <is>
          <t>EVT_0097</t>
        </is>
      </c>
      <c r="B98" t="inlineStr">
        <is>
          <t>Abono tierra</t>
        </is>
      </c>
      <c r="C98" t="inlineStr">
        <is>
          <t>INS_HENO</t>
        </is>
      </c>
      <c r="D98" t="inlineStr">
        <is>
          <t>Heno</t>
        </is>
      </c>
      <c r="E98" t="inlineStr">
        <is>
          <t>Arbol</t>
        </is>
      </c>
      <c r="F98" t="inlineStr">
        <is>
          <t>ARB_LIMON_MESINO_INJERTADO_FRAILES</t>
        </is>
      </c>
      <c r="G98" t="inlineStr">
        <is>
          <t>Limón mesino injertado - Frailes</t>
        </is>
      </c>
      <c r="H98" t="inlineStr">
        <is>
          <t>FIN_FRAILES</t>
        </is>
      </c>
      <c r="I98" t="inlineStr">
        <is>
          <t>Frailes</t>
        </is>
      </c>
      <c r="N98" t="inlineStr">
        <is>
          <t>ARB_LIMON_MESINO_INJERTADO_FRAILES</t>
        </is>
      </c>
      <c r="O98" t="inlineStr">
        <is>
          <t>Limón mesino injertado</t>
        </is>
      </c>
      <c r="P98" s="26" t="n"/>
      <c r="Q98" s="26" t="n">
        <v>46174</v>
      </c>
      <c r="R98" t="inlineStr">
        <is>
          <t>Completado</t>
        </is>
      </c>
      <c r="S98" t="inlineStr">
        <is>
          <t>Cobertura con heno</t>
        </is>
      </c>
    </row>
    <row r="99">
      <c r="A99" t="inlineStr">
        <is>
          <t>EVT_0098</t>
        </is>
      </c>
      <c r="B99" t="inlineStr">
        <is>
          <t>Abono tierra</t>
        </is>
      </c>
      <c r="C99" t="inlineStr">
        <is>
          <t>INS_TIERRA_ABONADA</t>
        </is>
      </c>
      <c r="D99" t="inlineStr">
        <is>
          <t>Tierra abonada</t>
        </is>
      </c>
      <c r="E99" t="inlineStr">
        <is>
          <t>Arbol</t>
        </is>
      </c>
      <c r="F99" t="inlineStr">
        <is>
          <t>ARB_MANDARINA_FRAILES</t>
        </is>
      </c>
      <c r="G99" t="inlineStr">
        <is>
          <t>Mandarina - Frailes</t>
        </is>
      </c>
      <c r="H99" t="inlineStr">
        <is>
          <t>FIN_FRAILES</t>
        </is>
      </c>
      <c r="I99" t="inlineStr">
        <is>
          <t>Frailes</t>
        </is>
      </c>
      <c r="N99" t="inlineStr">
        <is>
          <t>ARB_MANDARINA_FRAILES</t>
        </is>
      </c>
      <c r="O99" t="inlineStr">
        <is>
          <t>Mandarina</t>
        </is>
      </c>
      <c r="P99" s="26" t="n"/>
      <c r="Q99" s="26" t="n">
        <v>46174</v>
      </c>
      <c r="R99" t="inlineStr">
        <is>
          <t>Completado</t>
        </is>
      </c>
      <c r="S99" t="inlineStr">
        <is>
          <t>Abono con tierra abonada y heno</t>
        </is>
      </c>
    </row>
    <row r="100">
      <c r="A100" t="inlineStr">
        <is>
          <t>EVT_0099</t>
        </is>
      </c>
      <c r="B100" t="inlineStr">
        <is>
          <t>Abono tierra</t>
        </is>
      </c>
      <c r="C100" t="inlineStr">
        <is>
          <t>INS_HENO</t>
        </is>
      </c>
      <c r="D100" t="inlineStr">
        <is>
          <t>Heno</t>
        </is>
      </c>
      <c r="E100" t="inlineStr">
        <is>
          <t>Arbol</t>
        </is>
      </c>
      <c r="F100" t="inlineStr">
        <is>
          <t>ARB_MANDARINA_FRAILES</t>
        </is>
      </c>
      <c r="G100" t="inlineStr">
        <is>
          <t>Mandarina - Frailes</t>
        </is>
      </c>
      <c r="H100" t="inlineStr">
        <is>
          <t>FIN_FRAILES</t>
        </is>
      </c>
      <c r="I100" t="inlineStr">
        <is>
          <t>Frailes</t>
        </is>
      </c>
      <c r="N100" t="inlineStr">
        <is>
          <t>ARB_MANDARINA_FRAILES</t>
        </is>
      </c>
      <c r="O100" t="inlineStr">
        <is>
          <t>Mandarina</t>
        </is>
      </c>
      <c r="P100" s="26" t="n"/>
      <c r="Q100" s="26" t="n">
        <v>46174</v>
      </c>
      <c r="R100" t="inlineStr">
        <is>
          <t>Completado</t>
        </is>
      </c>
      <c r="S100" t="inlineStr">
        <is>
          <t>Cobertura con heno</t>
        </is>
      </c>
    </row>
    <row r="101">
      <c r="A101" t="inlineStr">
        <is>
          <t>EVT_0100</t>
        </is>
      </c>
      <c r="B101" t="inlineStr">
        <is>
          <t>Abono tierra</t>
        </is>
      </c>
      <c r="C101" t="inlineStr">
        <is>
          <t>INS_TIERRA_ABONADA</t>
        </is>
      </c>
      <c r="D101" t="inlineStr">
        <is>
          <t>Tierra abonada</t>
        </is>
      </c>
      <c r="E101" t="inlineStr">
        <is>
          <t>Arbol</t>
        </is>
      </c>
      <c r="F101" t="inlineStr">
        <is>
          <t>ARB_MANDARINA_JOVEN_FRAILES</t>
        </is>
      </c>
      <c r="G101" t="inlineStr">
        <is>
          <t>Mandarina joven - Frailes</t>
        </is>
      </c>
      <c r="H101" t="inlineStr">
        <is>
          <t>FIN_FRAILES</t>
        </is>
      </c>
      <c r="I101" t="inlineStr">
        <is>
          <t>Frailes</t>
        </is>
      </c>
      <c r="N101" t="inlineStr">
        <is>
          <t>ARB_MANDARINA_JOVEN_FRAILES</t>
        </is>
      </c>
      <c r="O101" t="inlineStr">
        <is>
          <t>Mandarina joven</t>
        </is>
      </c>
      <c r="P101" s="26" t="n"/>
      <c r="Q101" s="26" t="n">
        <v>46174</v>
      </c>
      <c r="R101" t="inlineStr">
        <is>
          <t>Completado</t>
        </is>
      </c>
      <c r="S101" t="inlineStr">
        <is>
          <t>Abono con tierra abonada y heno</t>
        </is>
      </c>
    </row>
    <row r="102">
      <c r="A102" t="inlineStr">
        <is>
          <t>EVT_0101</t>
        </is>
      </c>
      <c r="B102" t="inlineStr">
        <is>
          <t>Abono tierra</t>
        </is>
      </c>
      <c r="C102" t="inlineStr">
        <is>
          <t>INS_HENO</t>
        </is>
      </c>
      <c r="D102" t="inlineStr">
        <is>
          <t>Heno</t>
        </is>
      </c>
      <c r="E102" t="inlineStr">
        <is>
          <t>Arbol</t>
        </is>
      </c>
      <c r="F102" t="inlineStr">
        <is>
          <t>ARB_MANDARINA_JOVEN_FRAILES</t>
        </is>
      </c>
      <c r="G102" t="inlineStr">
        <is>
          <t>Mandarina joven - Frailes</t>
        </is>
      </c>
      <c r="H102" t="inlineStr">
        <is>
          <t>FIN_FRAILES</t>
        </is>
      </c>
      <c r="I102" t="inlineStr">
        <is>
          <t>Frailes</t>
        </is>
      </c>
      <c r="N102" t="inlineStr">
        <is>
          <t>ARB_MANDARINA_JOVEN_FRAILES</t>
        </is>
      </c>
      <c r="O102" t="inlineStr">
        <is>
          <t>Mandarina joven</t>
        </is>
      </c>
      <c r="P102" s="26" t="n"/>
      <c r="Q102" s="26" t="n">
        <v>46174</v>
      </c>
      <c r="R102" t="inlineStr">
        <is>
          <t>Completado</t>
        </is>
      </c>
      <c r="S102" t="inlineStr">
        <is>
          <t>Cobertura con heno</t>
        </is>
      </c>
    </row>
    <row r="103">
      <c r="A103" t="inlineStr">
        <is>
          <t>EVT_0102</t>
        </is>
      </c>
      <c r="B103" t="inlineStr">
        <is>
          <t>Abono tierra</t>
        </is>
      </c>
      <c r="C103" t="inlineStr">
        <is>
          <t>INS_TIERRA_ABONADA</t>
        </is>
      </c>
      <c r="D103" t="inlineStr">
        <is>
          <t>Tierra abonada</t>
        </is>
      </c>
      <c r="E103" t="inlineStr">
        <is>
          <t>Arbol</t>
        </is>
      </c>
      <c r="F103" t="inlineStr">
        <is>
          <t>ARB_NARANJA_VALENCIA_FRAILES</t>
        </is>
      </c>
      <c r="G103" t="inlineStr">
        <is>
          <t>Naranja Valencia - Frailes</t>
        </is>
      </c>
      <c r="H103" t="inlineStr">
        <is>
          <t>FIN_FRAILES</t>
        </is>
      </c>
      <c r="I103" t="inlineStr">
        <is>
          <t>Frailes</t>
        </is>
      </c>
      <c r="N103" t="inlineStr">
        <is>
          <t>ARB_NARANJA_VALENCIA_FRAILES</t>
        </is>
      </c>
      <c r="O103" t="inlineStr">
        <is>
          <t>Naranja Valencia</t>
        </is>
      </c>
      <c r="P103" s="26" t="n"/>
      <c r="Q103" s="26" t="n">
        <v>46174</v>
      </c>
      <c r="R103" t="inlineStr">
        <is>
          <t>Completado</t>
        </is>
      </c>
      <c r="S103" t="inlineStr">
        <is>
          <t>Abono con tierra abonada y heno</t>
        </is>
      </c>
    </row>
    <row r="104">
      <c r="A104" t="inlineStr">
        <is>
          <t>EVT_0103</t>
        </is>
      </c>
      <c r="B104" t="inlineStr">
        <is>
          <t>Abono tierra</t>
        </is>
      </c>
      <c r="C104" t="inlineStr">
        <is>
          <t>INS_HENO</t>
        </is>
      </c>
      <c r="D104" t="inlineStr">
        <is>
          <t>Heno</t>
        </is>
      </c>
      <c r="E104" t="inlineStr">
        <is>
          <t>Arbol</t>
        </is>
      </c>
      <c r="F104" t="inlineStr">
        <is>
          <t>ARB_NARANJA_VALENCIA_FRAILES</t>
        </is>
      </c>
      <c r="G104" t="inlineStr">
        <is>
          <t>Naranja Valencia - Frailes</t>
        </is>
      </c>
      <c r="H104" t="inlineStr">
        <is>
          <t>FIN_FRAILES</t>
        </is>
      </c>
      <c r="I104" t="inlineStr">
        <is>
          <t>Frailes</t>
        </is>
      </c>
      <c r="N104" t="inlineStr">
        <is>
          <t>ARB_NARANJA_VALENCIA_FRAILES</t>
        </is>
      </c>
      <c r="O104" t="inlineStr">
        <is>
          <t>Naranja Valencia</t>
        </is>
      </c>
      <c r="P104" s="26" t="n"/>
      <c r="Q104" s="26" t="n">
        <v>46174</v>
      </c>
      <c r="R104" t="inlineStr">
        <is>
          <t>Completado</t>
        </is>
      </c>
      <c r="S104" t="inlineStr">
        <is>
          <t>Cobertura con heno</t>
        </is>
      </c>
    </row>
    <row r="105">
      <c r="A105" t="inlineStr">
        <is>
          <t>EVT_0104</t>
        </is>
      </c>
      <c r="B105" t="inlineStr">
        <is>
          <t>Abono tierra</t>
        </is>
      </c>
      <c r="C105" t="inlineStr">
        <is>
          <t>INS_TIERRA_ABONADA</t>
        </is>
      </c>
      <c r="D105" t="inlineStr">
        <is>
          <t>Tierra abonada</t>
        </is>
      </c>
      <c r="E105" t="inlineStr">
        <is>
          <t>Arbol</t>
        </is>
      </c>
      <c r="F105" t="inlineStr">
        <is>
          <t>ARB_NARANJA_VALENCIA_INJERTADA_FRAILES</t>
        </is>
      </c>
      <c r="G105" t="inlineStr">
        <is>
          <t>Naranja Valencia injertada - Frailes</t>
        </is>
      </c>
      <c r="H105" t="inlineStr">
        <is>
          <t>FIN_FRAILES</t>
        </is>
      </c>
      <c r="I105" t="inlineStr">
        <is>
          <t>Frailes</t>
        </is>
      </c>
      <c r="N105" t="inlineStr">
        <is>
          <t>ARB_NARANJA_VALENCIA_INJERTADA_FRAILES</t>
        </is>
      </c>
      <c r="O105" t="inlineStr">
        <is>
          <t>Naranja Valencia injertada</t>
        </is>
      </c>
      <c r="P105" s="26" t="n"/>
      <c r="Q105" s="26" t="n">
        <v>46174</v>
      </c>
      <c r="R105" t="inlineStr">
        <is>
          <t>Completado</t>
        </is>
      </c>
      <c r="S105" t="inlineStr">
        <is>
          <t>Abono con tierra abonada y heno</t>
        </is>
      </c>
    </row>
    <row r="106">
      <c r="A106" t="inlineStr">
        <is>
          <t>EVT_0105</t>
        </is>
      </c>
      <c r="B106" t="inlineStr">
        <is>
          <t>Abono tierra</t>
        </is>
      </c>
      <c r="C106" t="inlineStr">
        <is>
          <t>INS_HENO</t>
        </is>
      </c>
      <c r="D106" t="inlineStr">
        <is>
          <t>Heno</t>
        </is>
      </c>
      <c r="E106" t="inlineStr">
        <is>
          <t>Arbol</t>
        </is>
      </c>
      <c r="F106" t="inlineStr">
        <is>
          <t>ARB_NARANJA_VALENCIA_INJERTADA_FRAILES</t>
        </is>
      </c>
      <c r="G106" t="inlineStr">
        <is>
          <t>Naranja Valencia injertada - Frailes</t>
        </is>
      </c>
      <c r="H106" t="inlineStr">
        <is>
          <t>FIN_FRAILES</t>
        </is>
      </c>
      <c r="I106" t="inlineStr">
        <is>
          <t>Frailes</t>
        </is>
      </c>
      <c r="N106" t="inlineStr">
        <is>
          <t>ARB_NARANJA_VALENCIA_INJERTADA_FRAILES</t>
        </is>
      </c>
      <c r="O106" t="inlineStr">
        <is>
          <t>Naranja Valencia injertada</t>
        </is>
      </c>
      <c r="P106" s="26" t="n"/>
      <c r="Q106" s="26" t="n">
        <v>46174</v>
      </c>
      <c r="R106" t="inlineStr">
        <is>
          <t>Completado</t>
        </is>
      </c>
      <c r="S106" t="inlineStr">
        <is>
          <t>Cobertura con heno</t>
        </is>
      </c>
    </row>
    <row r="107">
      <c r="A107" t="inlineStr">
        <is>
          <t>EVT_0106</t>
        </is>
      </c>
      <c r="B107" t="inlineStr">
        <is>
          <t>Abono tierra</t>
        </is>
      </c>
      <c r="C107" t="inlineStr">
        <is>
          <t>INS_TIERRA_ABONADA</t>
        </is>
      </c>
      <c r="D107" t="inlineStr">
        <is>
          <t>Tierra abonada</t>
        </is>
      </c>
      <c r="E107" t="inlineStr">
        <is>
          <t>Arbol</t>
        </is>
      </c>
      <c r="F107" t="inlineStr">
        <is>
          <t>ARB_NARANJA_WASHINGTON_FRAILES</t>
        </is>
      </c>
      <c r="G107" t="inlineStr">
        <is>
          <t>Naranja Washington - Frailes</t>
        </is>
      </c>
      <c r="H107" t="inlineStr">
        <is>
          <t>FIN_FRAILES</t>
        </is>
      </c>
      <c r="I107" t="inlineStr">
        <is>
          <t>Frailes</t>
        </is>
      </c>
      <c r="N107" t="inlineStr">
        <is>
          <t>ARB_NARANJA_WASHINGTON_FRAILES</t>
        </is>
      </c>
      <c r="O107" t="inlineStr">
        <is>
          <t>Naranja Washington</t>
        </is>
      </c>
      <c r="P107" s="26" t="n"/>
      <c r="Q107" s="26" t="n">
        <v>46174</v>
      </c>
      <c r="R107" t="inlineStr">
        <is>
          <t>Completado</t>
        </is>
      </c>
      <c r="S107" t="inlineStr">
        <is>
          <t>Abono con tierra abonada y heno</t>
        </is>
      </c>
    </row>
    <row r="108">
      <c r="A108" t="inlineStr">
        <is>
          <t>EVT_0107</t>
        </is>
      </c>
      <c r="B108" t="inlineStr">
        <is>
          <t>Abono tierra</t>
        </is>
      </c>
      <c r="C108" t="inlineStr">
        <is>
          <t>INS_HENO</t>
        </is>
      </c>
      <c r="D108" t="inlineStr">
        <is>
          <t>Heno</t>
        </is>
      </c>
      <c r="E108" t="inlineStr">
        <is>
          <t>Arbol</t>
        </is>
      </c>
      <c r="F108" t="inlineStr">
        <is>
          <t>ARB_NARANJA_WASHINGTON_FRAILES</t>
        </is>
      </c>
      <c r="G108" t="inlineStr">
        <is>
          <t>Naranja Washington - Frailes</t>
        </is>
      </c>
      <c r="H108" t="inlineStr">
        <is>
          <t>FIN_FRAILES</t>
        </is>
      </c>
      <c r="I108" t="inlineStr">
        <is>
          <t>Frailes</t>
        </is>
      </c>
      <c r="N108" t="inlineStr">
        <is>
          <t>ARB_NARANJA_WASHINGTON_FRAILES</t>
        </is>
      </c>
      <c r="O108" t="inlineStr">
        <is>
          <t>Naranja Washington</t>
        </is>
      </c>
      <c r="P108" s="26" t="n"/>
      <c r="Q108" s="26" t="n">
        <v>46174</v>
      </c>
      <c r="R108" t="inlineStr">
        <is>
          <t>Completado</t>
        </is>
      </c>
      <c r="S108" t="inlineStr">
        <is>
          <t>Cobertura con heno</t>
        </is>
      </c>
    </row>
    <row r="109">
      <c r="A109" t="inlineStr">
        <is>
          <t>EVT_0108</t>
        </is>
      </c>
      <c r="B109" t="inlineStr">
        <is>
          <t>Abono tierra</t>
        </is>
      </c>
      <c r="C109" t="inlineStr">
        <is>
          <t>INS_TIERRA_ABONADA</t>
        </is>
      </c>
      <c r="D109" t="inlineStr">
        <is>
          <t>Tierra abonada</t>
        </is>
      </c>
      <c r="E109" t="inlineStr">
        <is>
          <t>Arbol</t>
        </is>
      </c>
      <c r="F109" t="inlineStr">
        <is>
          <t>ARB_NARANJA_WASHINGTON_ADULTA_PEQUENA_FRAILES</t>
        </is>
      </c>
      <c r="G109" t="inlineStr">
        <is>
          <t>Naranja Washington adulta pequeña - Frailes</t>
        </is>
      </c>
      <c r="H109" t="inlineStr">
        <is>
          <t>FIN_FRAILES</t>
        </is>
      </c>
      <c r="I109" t="inlineStr">
        <is>
          <t>Frailes</t>
        </is>
      </c>
      <c r="N109" t="inlineStr">
        <is>
          <t>ARB_NARANJA_WASHINGTON_ADULTA_PEQUENA_FRAILES</t>
        </is>
      </c>
      <c r="O109" t="inlineStr">
        <is>
          <t>Naranja Washington adulta pequeña</t>
        </is>
      </c>
      <c r="P109" s="26" t="n"/>
      <c r="Q109" s="26" t="n">
        <v>46174</v>
      </c>
      <c r="R109" t="inlineStr">
        <is>
          <t>Completado</t>
        </is>
      </c>
      <c r="S109" t="inlineStr">
        <is>
          <t>Abono con tierra abonada y heno</t>
        </is>
      </c>
    </row>
    <row r="110">
      <c r="A110" t="inlineStr">
        <is>
          <t>EVT_0109</t>
        </is>
      </c>
      <c r="B110" t="inlineStr">
        <is>
          <t>Abono tierra</t>
        </is>
      </c>
      <c r="C110" t="inlineStr">
        <is>
          <t>INS_HENO</t>
        </is>
      </c>
      <c r="D110" t="inlineStr">
        <is>
          <t>Heno</t>
        </is>
      </c>
      <c r="E110" t="inlineStr">
        <is>
          <t>Arbol</t>
        </is>
      </c>
      <c r="F110" t="inlineStr">
        <is>
          <t>ARB_NARANJA_WASHINGTON_ADULTA_PEQUENA_FRAILES</t>
        </is>
      </c>
      <c r="G110" t="inlineStr">
        <is>
          <t>Naranja Washington adulta pequeña - Frailes</t>
        </is>
      </c>
      <c r="H110" t="inlineStr">
        <is>
          <t>FIN_FRAILES</t>
        </is>
      </c>
      <c r="I110" t="inlineStr">
        <is>
          <t>Frailes</t>
        </is>
      </c>
      <c r="N110" t="inlineStr">
        <is>
          <t>ARB_NARANJA_WASHINGTON_ADULTA_PEQUENA_FRAILES</t>
        </is>
      </c>
      <c r="O110" t="inlineStr">
        <is>
          <t>Naranja Washington adulta pequeña</t>
        </is>
      </c>
      <c r="P110" s="26" t="n"/>
      <c r="Q110" s="26" t="n">
        <v>46174</v>
      </c>
      <c r="R110" t="inlineStr">
        <is>
          <t>Completado</t>
        </is>
      </c>
      <c r="S110" t="inlineStr">
        <is>
          <t>Cobertura con heno</t>
        </is>
      </c>
    </row>
    <row r="111">
      <c r="A111" t="inlineStr">
        <is>
          <t>EVT_0110</t>
        </is>
      </c>
      <c r="B111" t="inlineStr">
        <is>
          <t>Abono tierra</t>
        </is>
      </c>
      <c r="C111" t="inlineStr">
        <is>
          <t>INS_TIERRA_ABONADA</t>
        </is>
      </c>
      <c r="D111" t="inlineStr">
        <is>
          <t>Tierra abonada</t>
        </is>
      </c>
      <c r="E111" t="inlineStr">
        <is>
          <t>Arbol</t>
        </is>
      </c>
      <c r="F111" t="inlineStr">
        <is>
          <t>ARB_NARANJA_WASHINGTON_INJERTADA_FRAILES</t>
        </is>
      </c>
      <c r="G111" t="inlineStr">
        <is>
          <t>Naranja Washington injertada - Frailes</t>
        </is>
      </c>
      <c r="H111" t="inlineStr">
        <is>
          <t>FIN_FRAILES</t>
        </is>
      </c>
      <c r="I111" t="inlineStr">
        <is>
          <t>Frailes</t>
        </is>
      </c>
      <c r="N111" t="inlineStr">
        <is>
          <t>ARB_NARANJA_WASHINGTON_INJERTADA_FRAILES</t>
        </is>
      </c>
      <c r="O111" t="inlineStr">
        <is>
          <t>Naranja Washington injertada</t>
        </is>
      </c>
      <c r="P111" s="26" t="n"/>
      <c r="Q111" s="26" t="n">
        <v>46174</v>
      </c>
      <c r="R111" t="inlineStr">
        <is>
          <t>Completado</t>
        </is>
      </c>
      <c r="S111" t="inlineStr">
        <is>
          <t>Abono con tierra abonada y heno</t>
        </is>
      </c>
    </row>
    <row r="112">
      <c r="A112" t="inlineStr">
        <is>
          <t>EVT_0111</t>
        </is>
      </c>
      <c r="B112" t="inlineStr">
        <is>
          <t>Abono tierra</t>
        </is>
      </c>
      <c r="C112" t="inlineStr">
        <is>
          <t>INS_HENO</t>
        </is>
      </c>
      <c r="D112" t="inlineStr">
        <is>
          <t>Heno</t>
        </is>
      </c>
      <c r="E112" t="inlineStr">
        <is>
          <t>Arbol</t>
        </is>
      </c>
      <c r="F112" t="inlineStr">
        <is>
          <t>ARB_NARANJA_WASHINGTON_INJERTADA_FRAILES</t>
        </is>
      </c>
      <c r="G112" t="inlineStr">
        <is>
          <t>Naranja Washington injertada - Frailes</t>
        </is>
      </c>
      <c r="H112" t="inlineStr">
        <is>
          <t>FIN_FRAILES</t>
        </is>
      </c>
      <c r="I112" t="inlineStr">
        <is>
          <t>Frailes</t>
        </is>
      </c>
      <c r="N112" t="inlineStr">
        <is>
          <t>ARB_NARANJA_WASHINGTON_INJERTADA_FRAILES</t>
        </is>
      </c>
      <c r="O112" t="inlineStr">
        <is>
          <t>Naranja Washington injertada</t>
        </is>
      </c>
      <c r="P112" s="26" t="n"/>
      <c r="Q112" s="26" t="n">
        <v>46174</v>
      </c>
      <c r="R112" t="inlineStr">
        <is>
          <t>Completado</t>
        </is>
      </c>
      <c r="S112" t="inlineStr">
        <is>
          <t>Cobertura con heno</t>
        </is>
      </c>
    </row>
    <row r="113">
      <c r="A113" t="inlineStr">
        <is>
          <t>EVT_0112</t>
        </is>
      </c>
      <c r="B113" t="inlineStr">
        <is>
          <t>Abono foliar</t>
        </is>
      </c>
      <c r="C113" t="inlineStr">
        <is>
          <t>INS_CALCIO_BORO</t>
        </is>
      </c>
      <c r="D113" t="inlineStr">
        <is>
          <t>Calcio Boro</t>
        </is>
      </c>
      <c r="E113" t="inlineStr">
        <is>
          <t>Arbol</t>
        </is>
      </c>
      <c r="F113" t="inlineStr">
        <is>
          <t>ARB_CAS_FRAILES</t>
        </is>
      </c>
      <c r="G113" t="inlineStr">
        <is>
          <t>Cas - Frailes</t>
        </is>
      </c>
      <c r="H113" t="inlineStr">
        <is>
          <t>FIN_FRAILES</t>
        </is>
      </c>
      <c r="I113" t="inlineStr">
        <is>
          <t>Frailes</t>
        </is>
      </c>
      <c r="N113" t="inlineStr">
        <is>
          <t>ARB_CAS_FRAILES</t>
        </is>
      </c>
      <c r="O113" t="inlineStr">
        <is>
          <t>Cas</t>
        </is>
      </c>
      <c r="P113" s="26" t="n">
        <v>46196</v>
      </c>
      <c r="Q113" s="26" t="n"/>
      <c r="R113" t="inlineStr">
        <is>
          <t>No empezado</t>
        </is>
      </c>
      <c r="S113" t="inlineStr">
        <is>
          <t>Aplicar calcio boro; árbol en cuaje próximos 15 días</t>
        </is>
      </c>
    </row>
    <row r="114">
      <c r="A114" t="inlineStr">
        <is>
          <t>EVT_0113</t>
        </is>
      </c>
      <c r="B114" t="inlineStr">
        <is>
          <t>Arqueo de ramas</t>
        </is>
      </c>
      <c r="E114" t="inlineStr">
        <is>
          <t>Arbol</t>
        </is>
      </c>
      <c r="F114" t="inlineStr">
        <is>
          <t>ARB_ANONA_FRAILES</t>
        </is>
      </c>
      <c r="G114" t="inlineStr">
        <is>
          <t>Anona - Frailes</t>
        </is>
      </c>
      <c r="H114" t="inlineStr">
        <is>
          <t>FIN_FRAILES</t>
        </is>
      </c>
      <c r="I114" t="inlineStr">
        <is>
          <t>Frailes</t>
        </is>
      </c>
      <c r="N114" t="inlineStr">
        <is>
          <t>ARB_ANONA_FRAILES</t>
        </is>
      </c>
      <c r="O114" t="inlineStr">
        <is>
          <t>Anona</t>
        </is>
      </c>
      <c r="P114" s="26" t="n"/>
      <c r="Q114" s="26" t="n">
        <v>46157</v>
      </c>
      <c r="R114" t="inlineStr">
        <is>
          <t>Completado</t>
        </is>
      </c>
      <c r="S114" t="inlineStr">
        <is>
          <t>Arqueo de ramas</t>
        </is>
      </c>
    </row>
    <row r="115">
      <c r="A115" t="inlineStr">
        <is>
          <t>EVT_0114</t>
        </is>
      </c>
      <c r="B115" t="inlineStr">
        <is>
          <t>Poda</t>
        </is>
      </c>
      <c r="E115" t="inlineStr">
        <is>
          <t>Arbol</t>
        </is>
      </c>
      <c r="F115" t="inlineStr">
        <is>
          <t>ARB_ANONA_FRAILES</t>
        </is>
      </c>
      <c r="G115" t="inlineStr">
        <is>
          <t>Anona - Frailes</t>
        </is>
      </c>
      <c r="H115" t="inlineStr">
        <is>
          <t>FIN_FRAILES</t>
        </is>
      </c>
      <c r="I115" t="inlineStr">
        <is>
          <t>Frailes</t>
        </is>
      </c>
      <c r="N115" t="inlineStr">
        <is>
          <t>ARB_ANONA_FRAILES</t>
        </is>
      </c>
      <c r="O115" t="inlineStr">
        <is>
          <t>Anona</t>
        </is>
      </c>
      <c r="P115" s="26" t="n"/>
      <c r="Q115" s="26" t="n">
        <v>46172</v>
      </c>
      <c r="R115" t="inlineStr">
        <is>
          <t>Completado</t>
        </is>
      </c>
      <c r="S115" t="inlineStr">
        <is>
          <t>Poda Anona Frailes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2026-06-09T02:42:55Z</dcterms:created>
  <dcterms:modified xmlns:dcterms="http://purl.org/dc/terms/" xmlns:xsi="http://www.w3.org/2001/XMLSchema-instance" xsi:type="dcterms:W3CDTF">2026-06-09T02:42:55Z</dcterms:modified>
</cp:coreProperties>
</file>