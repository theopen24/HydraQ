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0902922de14c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_MVP" sheetId="1" r:id="Rb7f887c168534185"/>
    <x:sheet xmlns:r="http://schemas.openxmlformats.org/officeDocument/2006/relationships" name="Fincas" sheetId="2" r:id="Rf0569c01504e4751"/>
    <x:sheet xmlns:r="http://schemas.openxmlformats.org/officeDocument/2006/relationships" name="Unidades" sheetId="3" r:id="Rf19c455c24a84c02"/>
    <x:sheet xmlns:r="http://schemas.openxmlformats.org/officeDocument/2006/relationships" name="CatalogoCultivos" sheetId="4" r:id="Ra4b413b9fe29427e"/>
    <x:sheet xmlns:r="http://schemas.openxmlformats.org/officeDocument/2006/relationships" name="CultivosSembrados" sheetId="5" r:id="R46a07e26a3fd49b7"/>
    <x:sheet xmlns:r="http://schemas.openxmlformats.org/officeDocument/2006/relationships" name="VistaCultivos" sheetId="6" r:id="R37182d96bffb4887"/>
    <x:sheet xmlns:r="http://schemas.openxmlformats.org/officeDocument/2006/relationships" name="Listas" sheetId="7" r:id="Rd722c5f4479548c9"/>
    <x:sheet xmlns:r="http://schemas.openxmlformats.org/officeDocument/2006/relationships" name="Insumos" sheetId="8" r:id="R56f712c4e29a48f6"/>
    <x:sheet xmlns:r="http://schemas.openxmlformats.org/officeDocument/2006/relationships" name="Arboles" sheetId="9" r:id="R510d3cef9ec44d32"/>
    <x:sheet xmlns:r="http://schemas.openxmlformats.org/officeDocument/2006/relationships" name="EventosAgricolas" sheetId="10" r:id="Rc36c01b3735245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8"/>
      <x:color rgb="14532D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4532D"/>
      </x:patternFill>
    </x:fill>
    <x:fill>
      <x:patternFill patternType="solid">
        <x:fgColor rgb="0F3D25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6b92c55792480b" /><Relationship Type="http://schemas.openxmlformats.org/officeDocument/2006/relationships/theme" Target="/xl/theme/theme1.xml" Id="R3fac0bd7e3d746d6" /><Relationship Type="http://schemas.openxmlformats.org/officeDocument/2006/relationships/sharedStrings" Target="/xl/sharedStrings.xml" Id="Re1cae0a59d4c4471" /><Relationship Type="http://schemas.openxmlformats.org/officeDocument/2006/relationships/worksheet" Target="/xl/worksheets/sheet1.xml" Id="Rb7f887c168534185" /><Relationship Type="http://schemas.openxmlformats.org/officeDocument/2006/relationships/worksheet" Target="/xl/worksheets/sheet2.xml" Id="Rf0569c01504e4751" /><Relationship Type="http://schemas.openxmlformats.org/officeDocument/2006/relationships/worksheet" Target="/xl/worksheets/sheet3.xml" Id="Rf19c455c24a84c02" /><Relationship Type="http://schemas.openxmlformats.org/officeDocument/2006/relationships/worksheet" Target="/xl/worksheets/sheet4.xml" Id="Ra4b413b9fe29427e" /><Relationship Type="http://schemas.openxmlformats.org/officeDocument/2006/relationships/worksheet" Target="/xl/worksheets/sheet5.xml" Id="R46a07e26a3fd49b7" /><Relationship Type="http://schemas.openxmlformats.org/officeDocument/2006/relationships/worksheet" Target="/xl/worksheets/sheet6.xml" Id="R37182d96bffb4887" /><Relationship Type="http://schemas.openxmlformats.org/officeDocument/2006/relationships/worksheet" Target="/xl/worksheets/sheet7.xml" Id="Rd722c5f4479548c9" /><Relationship Type="http://schemas.openxmlformats.org/officeDocument/2006/relationships/worksheet" Target="/xl/worksheets/sheet8.xml" Id="R56f712c4e29a48f6" /><Relationship Type="http://schemas.openxmlformats.org/officeDocument/2006/relationships/worksheet" Target="/xl/worksheets/sheet9.xml" Id="R510d3cef9ec44d32" /><Relationship Type="http://schemas.openxmlformats.org/officeDocument/2006/relationships/worksheet" Target="/xl/worksheets/sheet10.xml" Id="Rc36c01b373524560" /></Relationships>
</file>

<file path=xl/tables/table1.xml><?xml version="1.0" encoding="utf-8"?>
<x:table xmlns:x="http://schemas.openxmlformats.org/spreadsheetml/2006/main" id="1" name="FincasTable" displayName="FincasTable" ref="A1:D3" headerRowCount="1">
  <x:tableColumns count="4">
    <x:tableColumn id="1" name="Finca_ID"/>
    <x:tableColumn id="2" name="Finca_Nombre"/>
    <x:tableColumn id="3" name="Ubicacion"/>
    <x:tableColumn id="4" name="Notas"/>
  </x:tableColumns>
  <x:tableStyleInfo name="TableStyleMedium2" showRowStripes="1"/>
</x:table>
</file>

<file path=xl/tables/table2.xml><?xml version="1.0" encoding="utf-8"?>
<x:table xmlns:x="http://schemas.openxmlformats.org/spreadsheetml/2006/main" id="2" name="UnidadesTable" displayName="UnidadesTable" ref="A1:F9" headerRowCount="1">
  <x:tableColumns count="6">
    <x:tableColumn id="1" name="Unidad_ID"/>
    <x:tableColumn id="2" name="Finca_ID"/>
    <x:tableColumn id="3" name="Unidad_Nombre"/>
    <x:tableColumn id="4" name="Tipo_Unidad"/>
    <x:tableColumn id="5" name="Estado"/>
    <x:tableColumn id="6" name="Notas"/>
  </x:tableColumns>
  <x:tableStyleInfo name="TableStyleMedium2" showRowStripes="1"/>
</x:table>
</file>

<file path=xl/tables/table3.xml><?xml version="1.0" encoding="utf-8"?>
<x:table xmlns:x="http://schemas.openxmlformats.org/spreadsheetml/2006/main" id="3" name="CatalogoCultivosTable" displayName="CatalogoCultivosTable" ref="A1:G21" headerRowCount="1">
  <x:tableColumns count="7">
    <x:tableColumn id="1" name="Cultivo_ID"/>
    <x:tableColumn id="2" name="Cultivo_Nombre"/>
    <x:tableColumn id="3" name="Tipo_Cosecha"/>
    <x:tableColumn id="4" name="Dias_Cosecha_Min"/>
    <x:tableColumn id="5" name="Dias_Cosecha_Max"/>
    <x:tableColumn id="6" name="Activo"/>
    <x:tableColumn id="7" name="Notas"/>
  </x:tableColumns>
  <x:tableStyleInfo name="TableStyleMedium2" showRowStripes="1"/>
</x:table>
</file>

<file path=xl/tables/table4.xml><?xml version="1.0" encoding="utf-8"?>
<x:table xmlns:x="http://schemas.openxmlformats.org/spreadsheetml/2006/main" id="4" name="CultivosSembradosTable" displayName="CultivosSembradosTable" ref="A1:M26" headerRowCount="1">
  <x:tableColumns count="13">
    <x:tableColumn id="1" name="Siembra_ID"/>
    <x:tableColumn id="2" name="Finca_ID"/>
    <x:tableColumn id="3" name="Unidad_ID"/>
    <x:tableColumn id="4" name="Cultivo_ID"/>
    <x:tableColumn id="5" name="Fecha_Siembra"/>
    <x:tableColumn id="6" name="Fecha_Trasplante"/>
    <x:tableColumn id="7" name="Cantidad"/>
    <x:tableColumn id="8" name="Estado_Actual"/>
    <x:tableColumn id="9" name="Fecha_Base"/>
    <x:tableColumn id="10" name="Cosecha_Min"/>
    <x:tableColumn id="11" name="Cosecha_Max"/>
    <x:tableColumn id="12" name="Estado_Ficha"/>
    <x:tableColumn id="13" name="Notas"/>
  </x:tableColumns>
  <x:tableStyleInfo name="TableStyleMedium2" showRowStripes="1"/>
</x:table>
</file>

<file path=xl/tables/table5.xml><?xml version="1.0" encoding="utf-8"?>
<x:table xmlns:x="http://schemas.openxmlformats.org/spreadsheetml/2006/main" id="5" name="VistaCultivosTable" displayName="VistaCultivosTable" ref="A1:Q26" headerRowCount="1">
  <x:tableColumns count="17">
    <x:tableColumn id="1" name="Siembra_ID"/>
    <x:tableColumn id="2" name="Finca"/>
    <x:tableColumn id="3" name="Finca_ID"/>
    <x:tableColumn id="4" name="Unidad"/>
    <x:tableColumn id="5" name="Unidad_ID"/>
    <x:tableColumn id="6" name="Estado_Unidad"/>
    <x:tableColumn id="7" name="Cultivo"/>
    <x:tableColumn id="8" name="Cultivo_ID"/>
    <x:tableColumn id="9" name="Cantidad"/>
    <x:tableColumn id="10" name="Estado_Actual"/>
    <x:tableColumn id="11" name="Fecha_Siembra"/>
    <x:tableColumn id="12" name="Fecha_Trasplante"/>
    <x:tableColumn id="13" name="Fecha_Base"/>
    <x:tableColumn id="14" name="Cosecha_Min"/>
    <x:tableColumn id="15" name="Cosecha_Max"/>
    <x:tableColumn id="16" name="Alerta_Datos"/>
    <x:tableColumn id="17" name="Mes_Cosecha"/>
  </x:tableColumns>
  <x:tableStyleInfo name="TableStyleMedium2" showRowStripes="1"/>
</x:table>
</file>

<file path=xl/tables/table6.xml><?xml version="1.0" encoding="utf-8"?>
<x:table xmlns:x="http://schemas.openxmlformats.org/spreadsheetml/2006/main" id="6" name="ListasTable" displayName="ListasTable" ref="A1:B8" headerRowCount="1">
  <x:tableColumns count="2">
    <x:tableColumn id="1" name="Lista"/>
    <x:tableColumn id="2" name="Valo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142f89001f4c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057e33a034744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93c6e87d4b543f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ba4109d898f47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d02400a87c9411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63939c73777450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</x:cols>
  <x:sheetData>
    <x:row r="1">
      <x:c r="A1" s="16" t="str">
        <x:v>Hydra Q FincaOS V8</x:v>
      </x:c>
    </x:row>
    <x:row r="3">
      <x:c r="A3" s="5" t="str">
        <x:v>Métrica</x:v>
      </x:c>
      <x:c r="B3" s="5" t="str">
        <x:v>Valor</x:v>
      </x:c>
    </x:row>
    <x:row r="4">
      <x:c r="A4" t="str">
        <x:v>Cultivos activos</x:v>
      </x:c>
      <x:c r="B4" t="n">
        <x:f>COUNTIFS(VistaCultivos!H:H,"&lt;&gt;CUL_DISPONIBLE",VistaCultivos!F:F,"Activa")</x:f>
        <x:v>23</x:v>
      </x:c>
    </x:row>
    <x:row r="5">
      <x:c r="A5" t="str">
        <x:v>Camas activas</x:v>
      </x:c>
      <x:c r="B5" t="n">
        <x:f>COUNTIF(Unidades!E:E,"Activa")</x:f>
        <x:v>8</x:v>
      </x:c>
    </x:row>
    <x:row r="6">
      <x:c r="A6" t="str">
        <x:v>Espacios disponibles</x:v>
      </x:c>
      <x:c r="B6" t="n">
        <x:f>COUNTIF(VistaCultivos!H:H,"CUL_DISPONIBLE")</x:f>
        <x:v>3</x:v>
      </x:c>
    </x:row>
    <x:row r="7">
      <x:c r="A7" t="str">
        <x:v>Errores falta información</x:v>
      </x:c>
      <x:c r="B7" t="n">
        <x:f>COUNTIF(VistaCultivos!P:P,"Falta fecha")</x:f>
        <x:v>0</x:v>
      </x:c>
    </x:row>
    <x:row r="8">
      <x:c r="A8" t="str">
        <x:v>Próxima cosecha</x:v>
      </x:c>
      <x:c r="B8" s="18" t="n">
        <x:f>MIN(VistaCultivos!N:N)</x:f>
        <x:v>46092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11" hidden="0" customWidth="1"/>
    <x:col min="4" max="4" width="10" hidden="0" customWidth="1"/>
  </x:cols>
  <x:sheetData>
    <x:row r="1">
      <x:c r="A1" s="10" t="str">
        <x:v>Finca_ID</x:v>
      </x:c>
      <x:c r="B1" s="10" t="str">
        <x:v>Finca_Nombre</x:v>
      </x:c>
      <x:c r="C1" s="10" t="str">
        <x:v>Ubicacion</x:v>
      </x:c>
      <x:c r="D1" s="10" t="str">
        <x:v>Notas</x:v>
      </x:c>
    </x:row>
    <x:row r="2">
      <x:c r="A2" s="11" t="str">
        <x:v>FIN_MORAVIA</x:v>
      </x:c>
      <x:c r="B2" s="11" t="str">
        <x:v>Moravia</x:v>
      </x:c>
      <x:c r="C2" s="11" t="str">
        <x:v>San Vicente, Moravia</x:v>
      </x:c>
      <x:c r="D2" s="11" t="str">
        <x:v>Cama de hortalizas y aromáticas</x:v>
      </x:c>
    </x:row>
    <x:row r="3">
      <x:c r="A3" s="11" t="str">
        <x:v>FIN_FRAILES</x:v>
      </x:c>
      <x:c r="B3" s="11" t="str">
        <x:v>Frailes</x:v>
      </x:c>
      <x:c r="C3" s="11" t="str">
        <x:v>Frailes, Los Santos</x:v>
      </x:c>
      <x:c r="D3" s="11" t="str">
        <x:v>Camas de rotación</x:v>
      </x:c>
    </x:row>
  </x:sheetData>
  <x:pageMargins left="0.7" right="0.7" top="0.75" bottom="0.75" header="0.3" footer="0.3"/>
  <x:tableParts count="1">
    <x:tablePart xmlns:r="http://schemas.openxmlformats.org/officeDocument/2006/relationships" r:id="R8a142f89001f4c2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0" hidden="0" customWidth="1"/>
    <x:col min="3" max="3" width="15" hidden="0" customWidth="1"/>
    <x:col min="4" max="4" width="13" hidden="0" customWidth="1"/>
    <x:col min="5" max="5" width="10" hidden="0" customWidth="1"/>
    <x:col min="6" max="6" width="10" hidden="0" customWidth="1"/>
  </x:cols>
  <x:sheetData>
    <x:row r="1">
      <x:c r="A1" s="10" t="str">
        <x:v>Unidad_ID</x:v>
      </x:c>
      <x:c r="B1" s="10" t="str">
        <x:v>Finca_ID</x:v>
      </x:c>
      <x:c r="C1" s="10" t="str">
        <x:v>Unidad_Nombre</x:v>
      </x:c>
      <x:c r="D1" s="10" t="str">
        <x:v>Tipo_Unidad</x:v>
      </x:c>
      <x:c r="E1" s="10" t="str">
        <x:v>Estado</x:v>
      </x:c>
      <x:c r="F1" s="10" t="str">
        <x:v>Notas</x:v>
      </x:c>
    </x:row>
    <x:row r="2">
      <x:c r="A2" s="11" t="str">
        <x:v>UNI_MOR_CAMA_01</x:v>
      </x:c>
      <x:c r="B2" s="11" t="str">
        <x:v>FIN_MORAVIA</x:v>
      </x:c>
      <x:c r="C2" s="11" t="str">
        <x:v>Cama Moravia 1</x:v>
      </x:c>
      <x:c r="D2" s="11" t="str">
        <x:v>Cama</x:v>
      </x:c>
      <x:c r="E2" s="11" t="str">
        <x:v>Activa</x:v>
      </x:c>
      <x:c r="F2" s="11" t="str">
        <x:v>Incluye espacios disponibles</x:v>
      </x:c>
    </x:row>
    <x:row r="3">
      <x:c r="A3" s="11" t="str">
        <x:v>UNI_FRA_CAMA_01</x:v>
      </x:c>
      <x:c r="B3" s="11" t="str">
        <x:v>FIN_FRAILES</x:v>
      </x:c>
      <x:c r="C3" s="11" t="str">
        <x:v>Cama Frailes 1</x:v>
      </x:c>
      <x:c r="D3" s="11" t="str">
        <x:v>Cama</x:v>
      </x:c>
      <x:c r="E3" s="11" t="str">
        <x:v>Activa</x:v>
      </x:c>
      <x:c r="F3" s="11" t="str"/>
    </x:row>
    <x:row r="4">
      <x:c r="A4" s="11" t="str">
        <x:v>UNI_FRA_CAMA_02</x:v>
      </x:c>
      <x:c r="B4" s="11" t="str">
        <x:v>FIN_FRAILES</x:v>
      </x:c>
      <x:c r="C4" s="11" t="str">
        <x:v>Cama Frailes 2</x:v>
      </x:c>
      <x:c r="D4" s="11" t="str">
        <x:v>Cama</x:v>
      </x:c>
      <x:c r="E4" s="11" t="str">
        <x:v>Activa</x:v>
      </x:c>
      <x:c r="F4" s="11" t="str"/>
    </x:row>
    <x:row r="5">
      <x:c r="A5" s="11" t="str">
        <x:v>UNI_FRA_CAMA_03</x:v>
      </x:c>
      <x:c r="B5" s="11" t="str">
        <x:v>FIN_FRAILES</x:v>
      </x:c>
      <x:c r="C5" s="11" t="str">
        <x:v>Cama Frailes 3</x:v>
      </x:c>
      <x:c r="D5" s="11" t="str">
        <x:v>Cama</x:v>
      </x:c>
      <x:c r="E5" s="11" t="str">
        <x:v>Activa</x:v>
      </x:c>
      <x:c r="F5" s="11" t="str"/>
    </x:row>
    <x:row r="6">
      <x:c r="A6" s="11" t="str">
        <x:v>UNI_FRA_CAMA_04</x:v>
      </x:c>
      <x:c r="B6" s="11" t="str">
        <x:v>FIN_FRAILES</x:v>
      </x:c>
      <x:c r="C6" s="11" t="str">
        <x:v>Cama Frailes 4</x:v>
      </x:c>
      <x:c r="D6" s="11" t="str">
        <x:v>Cama</x:v>
      </x:c>
      <x:c r="E6" s="11" t="str">
        <x:v>Activa</x:v>
      </x:c>
      <x:c r="F6" s="11" t="str">
        <x:v>Espacio disponible</x:v>
      </x:c>
    </x:row>
    <x:row r="7">
      <x:c r="A7" s="11" t="str">
        <x:v>UNI_FRA_CAMA_05</x:v>
      </x:c>
      <x:c r="B7" s="11" t="str">
        <x:v>FIN_FRAILES</x:v>
      </x:c>
      <x:c r="C7" s="11" t="str">
        <x:v>Cama Frailes 5</x:v>
      </x:c>
      <x:c r="D7" s="11" t="str">
        <x:v>Cama</x:v>
      </x:c>
      <x:c r="E7" s="11" t="str">
        <x:v>Activa</x:v>
      </x:c>
      <x:c r="F7" s="11" t="str"/>
    </x:row>
    <x:row r="8">
      <x:c r="A8" s="11" t="str">
        <x:v>UNI_FRA_CAMA_06</x:v>
      </x:c>
      <x:c r="B8" s="11" t="str">
        <x:v>FIN_FRAILES</x:v>
      </x:c>
      <x:c r="C8" s="11" t="str">
        <x:v>Cama Frailes 6</x:v>
      </x:c>
      <x:c r="D8" s="11" t="str">
        <x:v>Cama</x:v>
      </x:c>
      <x:c r="E8" s="11" t="str">
        <x:v>Activa</x:v>
      </x:c>
      <x:c r="F8" s="11" t="str"/>
    </x:row>
    <x:row r="9">
      <x:c r="A9" s="11" t="str">
        <x:v>UNI_FRA_CAMA_07</x:v>
      </x:c>
      <x:c r="B9" s="11" t="str">
        <x:v>FIN_FRAILES</x:v>
      </x:c>
      <x:c r="C9" s="11" t="str">
        <x:v>Cama Frailes 7</x:v>
      </x:c>
      <x:c r="D9" s="11" t="str">
        <x:v>Cama</x:v>
      </x:c>
      <x:c r="E9" s="11" t="str">
        <x:v>Activa</x:v>
      </x:c>
      <x:c r="F9" s="11" t="str"/>
    </x:row>
  </x:sheetData>
  <x:pageMargins left="0.7" right="0.7" top="0.75" bottom="0.75" header="0.3" footer="0.3"/>
  <x:tableParts count="1">
    <x:tablePart xmlns:r="http://schemas.openxmlformats.org/officeDocument/2006/relationships" r:id="R7057e33a034744a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4" hidden="0" customWidth="1"/>
    <x:col min="4" max="4" width="18" hidden="0" customWidth="1"/>
    <x:col min="5" max="5" width="18" hidden="0" customWidth="1"/>
    <x:col min="6" max="6" width="10" hidden="0" customWidth="1"/>
    <x:col min="7" max="7" width="10" hidden="0" customWidth="1"/>
  </x:cols>
  <x:sheetData>
    <x:row r="1">
      <x:c r="A1" s="10" t="str">
        <x:v>Cultivo_ID</x:v>
      </x:c>
      <x:c r="B1" s="10" t="str">
        <x:v>Cultivo_Nombre</x:v>
      </x:c>
      <x:c r="C1" s="10" t="str">
        <x:v>Tipo_Cosecha</x:v>
      </x:c>
      <x:c r="D1" s="10" t="str">
        <x:v>Dias_Cosecha_Min</x:v>
      </x:c>
      <x:c r="E1" s="10" t="str">
        <x:v>Dias_Cosecha_Max</x:v>
      </x:c>
      <x:c r="F1" s="10" t="str">
        <x:v>Activo</x:v>
      </x:c>
      <x:c r="G1" s="10" t="str">
        <x:v>Notas</x:v>
      </x:c>
    </x:row>
    <x:row r="2">
      <x:c r="A2" s="11" t="str">
        <x:v>CUL_DISPONIBLE</x:v>
      </x:c>
      <x:c r="B2" s="11" t="str">
        <x:v>Disponible</x:v>
      </x:c>
      <x:c r="C2" s="11" t="str">
        <x:v>Placeholder</x:v>
      </x:c>
      <x:c r="D2" s="11" t="n">
        <x:v>0</x:v>
      </x:c>
      <x:c r="E2" s="11" t="n">
        <x:v>0</x:v>
      </x:c>
      <x:c r="F2" s="11" t="str">
        <x:v>Sí</x:v>
      </x:c>
      <x:c r="G2" s="11" t="str">
        <x:v>Etiqueta para espacio disponible</x:v>
      </x:c>
    </x:row>
    <x:row r="3">
      <x:c r="A3" s="11" t="str">
        <x:v>CUL_LECHUGA</x:v>
      </x:c>
      <x:c r="B3" s="11" t="str">
        <x:v>Lechuga</x:v>
      </x:c>
      <x:c r="C3" s="11" t="str">
        <x:v>Única</x:v>
      </x:c>
      <x:c r="D3" s="11" t="n">
        <x:v>35</x:v>
      </x:c>
      <x:c r="E3" s="11" t="n">
        <x:v>50</x:v>
      </x:c>
      <x:c r="F3" s="11" t="str">
        <x:v>Sí</x:v>
      </x:c>
      <x:c r="G3" s="11" t="str"/>
    </x:row>
    <x:row r="4">
      <x:c r="A4" s="11" t="str">
        <x:v>CUL_ACELGA</x:v>
      </x:c>
      <x:c r="B4" s="11" t="str">
        <x:v>Acelga</x:v>
      </x:c>
      <x:c r="C4" s="11" t="str">
        <x:v>Corte</x:v>
      </x:c>
      <x:c r="D4" s="11" t="n">
        <x:v>45</x:v>
      </x:c>
      <x:c r="E4" s="11" t="n">
        <x:v>65</x:v>
      </x:c>
      <x:c r="F4" s="11" t="str">
        <x:v>Sí</x:v>
      </x:c>
      <x:c r="G4" s="11" t="str"/>
    </x:row>
    <x:row r="5">
      <x:c r="A5" s="11" t="str">
        <x:v>CUL_PEPINO</x:v>
      </x:c>
      <x:c r="B5" s="11" t="str">
        <x:v>Pepino</x:v>
      </x:c>
      <x:c r="C5" s="11" t="str">
        <x:v>Escalonada</x:v>
      </x:c>
      <x:c r="D5" s="11" t="n">
        <x:v>45</x:v>
      </x:c>
      <x:c r="E5" s="11" t="n">
        <x:v>65</x:v>
      </x:c>
      <x:c r="F5" s="11" t="str">
        <x:v>Sí</x:v>
      </x:c>
      <x:c r="G5" s="11" t="str"/>
    </x:row>
    <x:row r="6">
      <x:c r="A6" s="11" t="str">
        <x:v>CUL_SANDIA</x:v>
      </x:c>
      <x:c r="B6" s="11" t="str">
        <x:v>Sandía</x:v>
      </x:c>
      <x:c r="C6" s="11" t="str">
        <x:v>Única</x:v>
      </x:c>
      <x:c r="D6" s="11" t="n">
        <x:v>80</x:v>
      </x:c>
      <x:c r="E6" s="11" t="n">
        <x:v>100</x:v>
      </x:c>
      <x:c r="F6" s="11" t="str">
        <x:v>Sí</x:v>
      </x:c>
      <x:c r="G6" s="11" t="str"/>
    </x:row>
    <x:row r="7">
      <x:c r="A7" s="11" t="str">
        <x:v>CUL_AYOTE</x:v>
      </x:c>
      <x:c r="B7" s="11" t="str">
        <x:v>Ayote</x:v>
      </x:c>
      <x:c r="C7" s="11" t="str">
        <x:v>Escalonada</x:v>
      </x:c>
      <x:c r="D7" s="11" t="n">
        <x:v>90</x:v>
      </x:c>
      <x:c r="E7" s="11" t="n">
        <x:v>120</x:v>
      </x:c>
      <x:c r="F7" s="11" t="str">
        <x:v>Sí</x:v>
      </x:c>
      <x:c r="G7" s="11" t="str"/>
    </x:row>
    <x:row r="8">
      <x:c r="A8" s="11" t="str">
        <x:v>CUL_ALBAHACA</x:v>
      </x:c>
      <x:c r="B8" s="11" t="str">
        <x:v>Albahaca</x:v>
      </x:c>
      <x:c r="C8" s="11" t="str">
        <x:v>Corte</x:v>
      </x:c>
      <x:c r="D8" s="11" t="n">
        <x:v>35</x:v>
      </x:c>
      <x:c r="E8" s="11" t="n">
        <x:v>50</x:v>
      </x:c>
      <x:c r="F8" s="11" t="str">
        <x:v>Sí</x:v>
      </x:c>
      <x:c r="G8" s="11" t="str"/>
    </x:row>
    <x:row r="9">
      <x:c r="A9" s="11" t="str">
        <x:v>CUL_TOMATE_CHERRY</x:v>
      </x:c>
      <x:c r="B9" s="11" t="str">
        <x:v>Tomate cherry</x:v>
      </x:c>
      <x:c r="C9" s="11" t="str">
        <x:v>Escalonada</x:v>
      </x:c>
      <x:c r="D9" s="11" t="n">
        <x:v>75</x:v>
      </x:c>
      <x:c r="E9" s="11" t="n">
        <x:v>100</x:v>
      </x:c>
      <x:c r="F9" s="11" t="str">
        <x:v>Sí</x:v>
      </x:c>
      <x:c r="G9" s="11" t="str"/>
    </x:row>
    <x:row r="10">
      <x:c r="A10" s="11" t="str">
        <x:v>CUL_CULANTRO</x:v>
      </x:c>
      <x:c r="B10" s="11" t="str">
        <x:v>Culantro</x:v>
      </x:c>
      <x:c r="C10" s="11" t="str">
        <x:v>Corte</x:v>
      </x:c>
      <x:c r="D10" s="11" t="n">
        <x:v>40</x:v>
      </x:c>
      <x:c r="E10" s="11" t="n">
        <x:v>60</x:v>
      </x:c>
      <x:c r="F10" s="11" t="str">
        <x:v>Sí</x:v>
      </x:c>
      <x:c r="G10" s="11" t="str"/>
    </x:row>
    <x:row r="11">
      <x:c r="A11" s="11" t="str">
        <x:v>CUL_CEBOLLA_BLANCA</x:v>
      </x:c>
      <x:c r="B11" s="11" t="str">
        <x:v>Cebolla blanca</x:v>
      </x:c>
      <x:c r="C11" s="11" t="str">
        <x:v>Única</x:v>
      </x:c>
      <x:c r="D11" s="11" t="n">
        <x:v>90</x:v>
      </x:c>
      <x:c r="E11" s="11" t="n">
        <x:v>120</x:v>
      </x:c>
      <x:c r="F11" s="11" t="str">
        <x:v>Sí</x:v>
      </x:c>
      <x:c r="G11" s="11" t="str"/>
    </x:row>
    <x:row r="12">
      <x:c r="A12" s="11" t="str">
        <x:v>CUL_CEBOLLA_MORADA</x:v>
      </x:c>
      <x:c r="B12" s="11" t="str">
        <x:v>Cebolla morada</x:v>
      </x:c>
      <x:c r="C12" s="11" t="str">
        <x:v>Única</x:v>
      </x:c>
      <x:c r="D12" s="11" t="n">
        <x:v>90</x:v>
      </x:c>
      <x:c r="E12" s="11" t="n">
        <x:v>120</x:v>
      </x:c>
      <x:c r="F12" s="11" t="str">
        <x:v>Sí</x:v>
      </x:c>
      <x:c r="G12" s="11" t="str"/>
    </x:row>
    <x:row r="13">
      <x:c r="A13" s="11" t="str">
        <x:v>CUL_CHILE_DULCE</x:v>
      </x:c>
      <x:c r="B13" s="11" t="str">
        <x:v>Chile dulce</x:v>
      </x:c>
      <x:c r="C13" s="11" t="str">
        <x:v>Escalonada</x:v>
      </x:c>
      <x:c r="D13" s="11" t="n">
        <x:v>75</x:v>
      </x:c>
      <x:c r="E13" s="11" t="n">
        <x:v>100</x:v>
      </x:c>
      <x:c r="F13" s="11" t="str">
        <x:v>Sí</x:v>
      </x:c>
      <x:c r="G13" s="11" t="str"/>
    </x:row>
    <x:row r="14">
      <x:c r="A14" s="11" t="str">
        <x:v>CUL_ARUGULA</x:v>
      </x:c>
      <x:c r="B14" s="11" t="str">
        <x:v>Arúgula</x:v>
      </x:c>
      <x:c r="C14" s="11" t="str">
        <x:v>Corte</x:v>
      </x:c>
      <x:c r="D14" s="11" t="n">
        <x:v>25</x:v>
      </x:c>
      <x:c r="E14" s="11" t="n">
        <x:v>40</x:v>
      </x:c>
      <x:c r="F14" s="11" t="str">
        <x:v>Sí</x:v>
      </x:c>
      <x:c r="G14" s="11" t="str"/>
    </x:row>
    <x:row r="15">
      <x:c r="A15" s="11" t="str">
        <x:v>CUL_ZUCCHINI</x:v>
      </x:c>
      <x:c r="B15" s="11" t="str">
        <x:v>Zucchini</x:v>
      </x:c>
      <x:c r="C15" s="11" t="str">
        <x:v>Escalonada</x:v>
      </x:c>
      <x:c r="D15" s="11" t="n">
        <x:v>45</x:v>
      </x:c>
      <x:c r="E15" s="11" t="n">
        <x:v>65</x:v>
      </x:c>
      <x:c r="F15" s="11" t="str">
        <x:v>Sí</x:v>
      </x:c>
      <x:c r="G15" s="11" t="str"/>
    </x:row>
    <x:row r="16">
      <x:c r="A16" s="11" t="str">
        <x:v>CUL_ZANAHORIA</x:v>
      </x:c>
      <x:c r="B16" s="11" t="str">
        <x:v>Zanahoria</x:v>
      </x:c>
      <x:c r="C16" s="11" t="str">
        <x:v>Única</x:v>
      </x:c>
      <x:c r="D16" s="11" t="n">
        <x:v>80</x:v>
      </x:c>
      <x:c r="E16" s="11" t="n">
        <x:v>110</x:v>
      </x:c>
      <x:c r="F16" s="11" t="str">
        <x:v>Sí</x:v>
      </x:c>
      <x:c r="G16" s="11" t="str"/>
    </x:row>
    <x:row r="17">
      <x:c r="A17" s="11" t="str">
        <x:v>CUL_CEBOLLINO</x:v>
      </x:c>
      <x:c r="B17" s="11" t="str">
        <x:v>Cebollino</x:v>
      </x:c>
      <x:c r="C17" s="11" t="str">
        <x:v>Corte</x:v>
      </x:c>
      <x:c r="D17" s="11" t="n">
        <x:v>60</x:v>
      </x:c>
      <x:c r="E17" s="11" t="n">
        <x:v>90</x:v>
      </x:c>
      <x:c r="F17" s="11" t="str">
        <x:v>Sí</x:v>
      </x:c>
      <x:c r="G17" s="11" t="str"/>
    </x:row>
    <x:row r="18">
      <x:c r="A18" s="11" t="str">
        <x:v>CUL_PEREJIL_ITALIANO</x:v>
      </x:c>
      <x:c r="B18" s="11" t="str">
        <x:v>Perejil italiano</x:v>
      </x:c>
      <x:c r="C18" s="11" t="str">
        <x:v>Corte</x:v>
      </x:c>
      <x:c r="D18" s="11" t="n">
        <x:v>70</x:v>
      </x:c>
      <x:c r="E18" s="11" t="n">
        <x:v>100</x:v>
      </x:c>
      <x:c r="F18" s="11" t="str">
        <x:v>Sí</x:v>
      </x:c>
      <x:c r="G18" s="11" t="str"/>
    </x:row>
    <x:row r="19">
      <x:c r="A19" s="11" t="str">
        <x:v>CUL_PEREJIL_NORMAL</x:v>
      </x:c>
      <x:c r="B19" s="11" t="str">
        <x:v>Perejil normal</x:v>
      </x:c>
      <x:c r="C19" s="11" t="str">
        <x:v>Corte</x:v>
      </x:c>
      <x:c r="D19" s="11" t="n">
        <x:v>70</x:v>
      </x:c>
      <x:c r="E19" s="11" t="n">
        <x:v>100</x:v>
      </x:c>
      <x:c r="F19" s="11" t="str">
        <x:v>Sí</x:v>
      </x:c>
      <x:c r="G19" s="11" t="str"/>
    </x:row>
    <x:row r="20">
      <x:c r="A20" s="11" t="str">
        <x:v>CUL_ESPINACA</x:v>
      </x:c>
      <x:c r="B20" s="11" t="str">
        <x:v>Espinaca</x:v>
      </x:c>
      <x:c r="C20" s="11" t="str">
        <x:v>Corte</x:v>
      </x:c>
      <x:c r="D20" s="11" t="n">
        <x:v>40</x:v>
      </x:c>
      <x:c r="E20" s="11" t="n">
        <x:v>60</x:v>
      </x:c>
      <x:c r="F20" s="11" t="str">
        <x:v>Sí</x:v>
      </x:c>
      <x:c r="G20" s="11" t="str"/>
    </x:row>
    <x:row r="21">
      <x:c r="A21" s="11" t="str">
        <x:v>CUL_APIO</x:v>
      </x:c>
      <x:c r="B21" s="11" t="str">
        <x:v>Apio</x:v>
      </x:c>
      <x:c r="C21" s="11" t="str">
        <x:v>Corte</x:v>
      </x:c>
      <x:c r="D21" s="11" t="n">
        <x:v>90</x:v>
      </x:c>
      <x:c r="E21" s="11" t="n">
        <x:v>120</x:v>
      </x:c>
      <x:c r="F21" s="11" t="str">
        <x:v>Sí</x:v>
      </x:c>
      <x:c r="G21" s="11" t="str"/>
    </x:row>
  </x:sheetData>
  <x:pageMargins left="0.7" right="0.7" top="0.75" bottom="0.75" header="0.3" footer="0.3"/>
  <x:tableParts count="1">
    <x:tablePart xmlns:r="http://schemas.openxmlformats.org/officeDocument/2006/relationships" r:id="Re93c6e87d4b543f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11" hidden="0" customWidth="1"/>
    <x:col min="4" max="4" width="12" hidden="0" customWidth="1"/>
    <x:col min="5" max="5" width="15" hidden="0" customWidth="1"/>
    <x:col min="6" max="6" width="18" hidden="0" customWidth="1"/>
    <x:col min="7" max="7" width="10" hidden="0" customWidth="1"/>
    <x:col min="8" max="8" width="15" hidden="0" customWidth="1"/>
    <x:col min="9" max="9" width="12" hidden="0" customWidth="1"/>
    <x:col min="10" max="10" width="13" hidden="0" customWidth="1"/>
    <x:col min="11" max="11" width="13" hidden="0" customWidth="1"/>
    <x:col min="12" max="12" width="14" hidden="0" customWidth="1"/>
    <x:col min="13" max="13" width="10" hidden="0" customWidth="1"/>
  </x:cols>
  <x:sheetData>
    <x:row r="1">
      <x:c r="A1" s="10" t="str">
        <x:v>Siembra_ID</x:v>
      </x:c>
      <x:c r="B1" s="10" t="str">
        <x:v>Finca_ID</x:v>
      </x:c>
      <x:c r="C1" s="10" t="str">
        <x:v>Unidad_ID</x:v>
      </x:c>
      <x:c r="D1" s="10" t="str">
        <x:v>Cultivo_ID</x:v>
      </x:c>
      <x:c r="E1" s="10" t="str">
        <x:v>Fecha_Siembra</x:v>
      </x:c>
      <x:c r="F1" s="10" t="str">
        <x:v>Fecha_Trasplante</x:v>
      </x:c>
      <x:c r="G1" s="10" t="str">
        <x:v>Cantidad</x:v>
      </x:c>
      <x:c r="H1" s="10" t="str">
        <x:v>Estado_Actual</x:v>
      </x:c>
      <x:c r="I1" s="10" t="str">
        <x:v>Fecha_Base</x:v>
      </x:c>
      <x:c r="J1" s="10" t="str">
        <x:v>Cosecha_Min</x:v>
      </x:c>
      <x:c r="K1" s="10" t="str">
        <x:v>Cosecha_Max</x:v>
      </x:c>
      <x:c r="L1" s="10" t="str">
        <x:v>Estado_Ficha</x:v>
      </x:c>
      <x:c r="M1" s="10" t="str">
        <x:v>Notas</x:v>
      </x:c>
      <x:c r="N1" s="23" t="str">
        <x:v>Evento_Agricola</x:v>
      </x:c>
    </x:row>
    <x:row r="2">
      <x:c r="A2" s="11" t="str">
        <x:v>SIE_MOR_001</x:v>
      </x:c>
      <x:c r="B2" s="11" t="str">
        <x:v>FIN_MORAVIA</x:v>
      </x:c>
      <x:c r="C2" s="11" t="str">
        <x:v>UNI_MOR_CAMA_01</x:v>
      </x:c>
      <x:c r="D2" s="11" t="str">
        <x:v>CUL_LECHUGA</x:v>
      </x:c>
      <x:c r="E2" s="14" t="n">
        <x:v>46128</x:v>
      </x:c>
      <x:c r="F2" s="14"/>
      <x:c r="G2" s="11" t="n">
        <x:v>10</x:v>
      </x:c>
      <x:c r="H2" s="11" t="str">
        <x:v>Crecimiento</x:v>
      </x:c>
      <x:c r="I2" s="14" t="n">
        <x:v>46128</x:v>
      </x:c>
      <x:c r="J2" s="14" t="n">
        <x:v>46163</x:v>
      </x:c>
      <x:c r="K2" s="14" t="n">
        <x:v>46178</x:v>
      </x:c>
      <x:c r="L2" s="11" t="str">
        <x:v>Completa</x:v>
      </x:c>
      <x:c r="M2" s="11" t="str"/>
      <x:c r="N2" s="11" t="str">
        <x:v>Ver EventosAgricolas</x:v>
      </x:c>
    </x:row>
    <x:row r="3">
      <x:c r="A3" s="11" t="str">
        <x:v>SIE_MOR_002</x:v>
      </x:c>
      <x:c r="B3" s="11" t="str">
        <x:v>FIN_MORAVIA</x:v>
      </x:c>
      <x:c r="C3" s="11" t="str">
        <x:v>UNI_MOR_CAMA_01</x:v>
      </x:c>
      <x:c r="D3" s="11" t="str">
        <x:v>CUL_CEBOLLINO</x:v>
      </x:c>
      <x:c r="E3" s="14" t="n">
        <x:v>46032</x:v>
      </x:c>
      <x:c r="F3" s="14"/>
      <x:c r="G3" s="11" t="n">
        <x:v>1</x:v>
      </x:c>
      <x:c r="H3" s="11" t="str">
        <x:v>Crecimiento</x:v>
      </x:c>
      <x:c r="I3" s="14" t="n">
        <x:v>46032</x:v>
      </x:c>
      <x:c r="J3" s="14" t="n">
        <x:v>46092</x:v>
      </x:c>
      <x:c r="K3" s="14" t="n">
        <x:v>46122</x:v>
      </x:c>
      <x:c r="L3" s="11" t="str">
        <x:v>Completa</x:v>
      </x:c>
      <x:c r="M3" s="11" t="str"/>
      <x:c r="N3" s="11" t="str">
        <x:v>Ver EventosAgricolas</x:v>
      </x:c>
    </x:row>
    <x:row r="4">
      <x:c r="A4" s="11" t="str">
        <x:v>SIE_MOR_003</x:v>
      </x:c>
      <x:c r="B4" s="11" t="str">
        <x:v>FIN_MORAVIA</x:v>
      </x:c>
      <x:c r="C4" s="11" t="str">
        <x:v>UNI_MOR_CAMA_01</x:v>
      </x:c>
      <x:c r="D4" s="11" t="str">
        <x:v>CUL_TOMATE_CHERRY</x:v>
      </x:c>
      <x:c r="E4" s="14" t="n">
        <x:v>46128</x:v>
      </x:c>
      <x:c r="F4" s="14"/>
      <x:c r="G4" s="11" t="n">
        <x:v>1</x:v>
      </x:c>
      <x:c r="H4" s="11" t="str">
        <x:v>Floración</x:v>
      </x:c>
      <x:c r="I4" s="14" t="n">
        <x:v>46128</x:v>
      </x:c>
      <x:c r="J4" s="14" t="n">
        <x:v>46203</x:v>
      </x:c>
      <x:c r="K4" s="14" t="n">
        <x:v>46228</x:v>
      </x:c>
      <x:c r="L4" s="11" t="str">
        <x:v>Completa</x:v>
      </x:c>
      <x:c r="M4" s="11" t="str"/>
      <x:c r="N4" s="11" t="str">
        <x:v>Ver EventosAgricolas</x:v>
      </x:c>
    </x:row>
    <x:row r="5">
      <x:c r="A5" s="11" t="str">
        <x:v>SIE_MOR_004</x:v>
      </x:c>
      <x:c r="B5" s="11" t="str">
        <x:v>FIN_MORAVIA</x:v>
      </x:c>
      <x:c r="C5" s="11" t="str">
        <x:v>UNI_MOR_CAMA_01</x:v>
      </x:c>
      <x:c r="D5" s="11" t="str">
        <x:v>CUL_PEREJIL_ITALIANO</x:v>
      </x:c>
      <x:c r="E5" s="14" t="n">
        <x:v>46032</x:v>
      </x:c>
      <x:c r="F5" s="14"/>
      <x:c r="G5" s="11" t="n">
        <x:v>1</x:v>
      </x:c>
      <x:c r="H5" s="11" t="str">
        <x:v>Crecimiento</x:v>
      </x:c>
      <x:c r="I5" s="14" t="n">
        <x:v>46032</x:v>
      </x:c>
      <x:c r="J5" s="14" t="n">
        <x:v>46102</x:v>
      </x:c>
      <x:c r="K5" s="14" t="n">
        <x:v>46132</x:v>
      </x:c>
      <x:c r="L5" s="11" t="str">
        <x:v>Completa</x:v>
      </x:c>
      <x:c r="M5" s="11" t="str"/>
      <x:c r="N5" s="11" t="str">
        <x:v>Ver EventosAgricolas</x:v>
      </x:c>
    </x:row>
    <x:row r="6">
      <x:c r="A6" s="11" t="str">
        <x:v>SIE_MOR_005</x:v>
      </x:c>
      <x:c r="B6" s="11" t="str">
        <x:v>FIN_MORAVIA</x:v>
      </x:c>
      <x:c r="C6" s="11" t="str">
        <x:v>UNI_MOR_CAMA_01</x:v>
      </x:c>
      <x:c r="D6" s="11" t="str">
        <x:v>CUL_PEREJIL_NORMAL</x:v>
      </x:c>
      <x:c r="E6" s="14" t="n">
        <x:v>46032</x:v>
      </x:c>
      <x:c r="F6" s="14"/>
      <x:c r="G6" s="11" t="n">
        <x:v>1</x:v>
      </x:c>
      <x:c r="H6" s="11" t="str">
        <x:v>Crecimiento</x:v>
      </x:c>
      <x:c r="I6" s="14" t="n">
        <x:v>46032</x:v>
      </x:c>
      <x:c r="J6" s="14" t="n">
        <x:v>46102</x:v>
      </x:c>
      <x:c r="K6" s="14" t="n">
        <x:v>46132</x:v>
      </x:c>
      <x:c r="L6" s="11" t="str">
        <x:v>Completa</x:v>
      </x:c>
      <x:c r="M6" s="11" t="str"/>
      <x:c r="N6" s="11" t="str">
        <x:v>Ver EventosAgricolas</x:v>
      </x:c>
    </x:row>
    <x:row r="7">
      <x:c r="A7" s="11" t="str">
        <x:v>SIE_MOR_006</x:v>
      </x:c>
      <x:c r="B7" s="11" t="str">
        <x:v>FIN_MORAVIA</x:v>
      </x:c>
      <x:c r="C7" s="11" t="str">
        <x:v>UNI_MOR_CAMA_01</x:v>
      </x:c>
      <x:c r="D7" s="11" t="str">
        <x:v>CUL_ESPINACA</x:v>
      </x:c>
      <x:c r="E7" s="14" t="n">
        <x:v>46128</x:v>
      </x:c>
      <x:c r="F7" s="14"/>
      <x:c r="G7" s="11" t="n">
        <x:v>1</x:v>
      </x:c>
      <x:c r="H7" s="11" t="str">
        <x:v>Crecimiento</x:v>
      </x:c>
      <x:c r="I7" s="14" t="n">
        <x:v>46128</x:v>
      </x:c>
      <x:c r="J7" s="14" t="n">
        <x:v>46168</x:v>
      </x:c>
      <x:c r="K7" s="14" t="n">
        <x:v>46188</x:v>
      </x:c>
      <x:c r="L7" s="11" t="str">
        <x:v>Completa</x:v>
      </x:c>
      <x:c r="M7" s="11" t="str"/>
      <x:c r="N7" s="11" t="str">
        <x:v>Ver EventosAgricolas</x:v>
      </x:c>
    </x:row>
    <x:row r="8">
      <x:c r="A8" s="11" t="str">
        <x:v>SIE_MOR_007</x:v>
      </x:c>
      <x:c r="B8" s="11" t="str">
        <x:v>FIN_MORAVIA</x:v>
      </x:c>
      <x:c r="C8" s="11" t="str">
        <x:v>UNI_MOR_CAMA_01</x:v>
      </x:c>
      <x:c r="D8" s="11" t="str">
        <x:v>CUL_APIO</x:v>
      </x:c>
      <x:c r="E8" s="14" t="n">
        <x:v>46101</x:v>
      </x:c>
      <x:c r="F8" s="14"/>
      <x:c r="G8" s="11" t="n">
        <x:v>1</x:v>
      </x:c>
      <x:c r="H8" s="11" t="str">
        <x:v>Crecimiento</x:v>
      </x:c>
      <x:c r="I8" s="14" t="n">
        <x:v>46101</x:v>
      </x:c>
      <x:c r="J8" s="14" t="n">
        <x:v>46191</x:v>
      </x:c>
      <x:c r="K8" s="14" t="n">
        <x:v>46221</x:v>
      </x:c>
      <x:c r="L8" s="11" t="str">
        <x:v>Completa</x:v>
      </x:c>
      <x:c r="M8" s="11" t="str"/>
      <x:c r="N8" s="11" t="str">
        <x:v>Ver EventosAgricolas</x:v>
      </x:c>
    </x:row>
    <x:row r="9">
      <x:c r="A9" s="11" t="str">
        <x:v>SIE_MOR_008</x:v>
      </x:c>
      <x:c r="B9" s="11" t="str">
        <x:v>FIN_MORAVIA</x:v>
      </x:c>
      <x:c r="C9" s="11" t="str">
        <x:v>UNI_MOR_CAMA_01</x:v>
      </x:c>
      <x:c r="D9" s="11" t="str">
        <x:v>CUL_DISPONIBLE</x:v>
      </x:c>
      <x:c r="E9" s="14"/>
      <x:c r="F9" s="14"/>
      <x:c r="G9" s="11" t="n">
        <x:v>1</x:v>
      </x:c>
      <x:c r="H9" s="11" t="str">
        <x:v>Disponible</x:v>
      </x:c>
      <x:c r="I9" s="14"/>
      <x:c r="J9" s="14"/>
      <x:c r="K9" s="14"/>
      <x:c r="L9" s="11" t="str">
        <x:v>Completa</x:v>
      </x:c>
      <x:c r="M9" s="11" t="str">
        <x:v>Espacio disponible</x:v>
      </x:c>
      <x:c r="N9" s="11" t="str">
        <x:v>Ver EventosAgricolas</x:v>
      </x:c>
    </x:row>
    <x:row r="10">
      <x:c r="A10" s="11" t="str">
        <x:v>SIE_FRA_001</x:v>
      </x:c>
      <x:c r="B10" s="11" t="str">
        <x:v>FIN_FRAILES</x:v>
      </x:c>
      <x:c r="C10" s="11" t="str">
        <x:v>UNI_FRA_CAMA_01</x:v>
      </x:c>
      <x:c r="D10" s="11" t="str">
        <x:v>CUL_LECHUGA</x:v>
      </x:c>
      <x:c r="E10" s="14"/>
      <x:c r="F10" s="14" t="n">
        <x:v>46137</x:v>
      </x:c>
      <x:c r="G10" s="11" t="n">
        <x:v>9</x:v>
      </x:c>
      <x:c r="H10" s="11" t="str">
        <x:v>Crecimiento</x:v>
      </x:c>
      <x:c r="I10" s="14" t="n">
        <x:v>46137</x:v>
      </x:c>
      <x:c r="J10" s="14" t="n">
        <x:v>46172</x:v>
      </x:c>
      <x:c r="K10" s="14" t="n">
        <x:v>46187</x:v>
      </x:c>
      <x:c r="L10" s="11" t="str">
        <x:v>Completa</x:v>
      </x:c>
      <x:c r="M10" s="11" t="str"/>
      <x:c r="N10" s="11" t="str">
        <x:v>Ver EventosAgricolas</x:v>
      </x:c>
    </x:row>
    <x:row r="11">
      <x:c r="A11" s="11" t="str">
        <x:v>SIE_FRA_002</x:v>
      </x:c>
      <x:c r="B11" s="11" t="str">
        <x:v>FIN_FRAILES</x:v>
      </x:c>
      <x:c r="C11" s="11" t="str">
        <x:v>UNI_FRA_CAMA_01</x:v>
      </x:c>
      <x:c r="D11" s="11" t="str">
        <x:v>CUL_ACELGA</x:v>
      </x:c>
      <x:c r="E11" s="14"/>
      <x:c r="F11" s="14" t="n">
        <x:v>46172</x:v>
      </x:c>
      <x:c r="G11" s="11" t="n">
        <x:v>5</x:v>
      </x:c>
      <x:c r="H11" s="11" t="str">
        <x:v>Crecimiento</x:v>
      </x:c>
      <x:c r="I11" s="14" t="n">
        <x:v>46172</x:v>
      </x:c>
      <x:c r="J11" s="14" t="n">
        <x:v>46217</x:v>
      </x:c>
      <x:c r="K11" s="14" t="n">
        <x:v>46237</x:v>
      </x:c>
      <x:c r="L11" s="11" t="str">
        <x:v>Completa</x:v>
      </x:c>
      <x:c r="M11" s="11" t="str"/>
      <x:c r="N11" s="11" t="str">
        <x:v>Ver EventosAgricolas</x:v>
      </x:c>
    </x:row>
    <x:row r="12">
      <x:c r="A12" s="11" t="str">
        <x:v>SIE_FRA_003</x:v>
      </x:c>
      <x:c r="B12" s="11" t="str">
        <x:v>FIN_FRAILES</x:v>
      </x:c>
      <x:c r="C12" s="11" t="str">
        <x:v>UNI_FRA_CAMA_01</x:v>
      </x:c>
      <x:c r="D12" s="11" t="str">
        <x:v>CUL_PEPINO</x:v>
      </x:c>
      <x:c r="E12" s="14"/>
      <x:c r="F12" s="14" t="n">
        <x:v>46137</x:v>
      </x:c>
      <x:c r="G12" s="11" t="n">
        <x:v>2</x:v>
      </x:c>
      <x:c r="H12" s="11" t="str">
        <x:v>Floración</x:v>
      </x:c>
      <x:c r="I12" s="14" t="n">
        <x:v>46137</x:v>
      </x:c>
      <x:c r="J12" s="14" t="n">
        <x:v>46182</x:v>
      </x:c>
      <x:c r="K12" s="14" t="n">
        <x:v>46202</x:v>
      </x:c>
      <x:c r="L12" s="11" t="str">
        <x:v>Completa</x:v>
      </x:c>
      <x:c r="M12" s="11" t="str"/>
      <x:c r="N12" s="11" t="str">
        <x:v>Ver EventosAgricolas</x:v>
      </x:c>
    </x:row>
    <x:row r="13">
      <x:c r="A13" s="11" t="str">
        <x:v>SIE_FRA_004</x:v>
      </x:c>
      <x:c r="B13" s="11" t="str">
        <x:v>FIN_FRAILES</x:v>
      </x:c>
      <x:c r="C13" s="11" t="str">
        <x:v>UNI_FRA_CAMA_01</x:v>
      </x:c>
      <x:c r="D13" s="11" t="str">
        <x:v>CUL_SANDIA</x:v>
      </x:c>
      <x:c r="E13" s="14"/>
      <x:c r="F13" s="14" t="n">
        <x:v>46137</x:v>
      </x:c>
      <x:c r="G13" s="11" t="n">
        <x:v>2</x:v>
      </x:c>
      <x:c r="H13" s="11" t="str">
        <x:v>Crecimiento</x:v>
      </x:c>
      <x:c r="I13" s="14" t="n">
        <x:v>46137</x:v>
      </x:c>
      <x:c r="J13" s="14" t="n">
        <x:v>46217</x:v>
      </x:c>
      <x:c r="K13" s="14" t="n">
        <x:v>46237</x:v>
      </x:c>
      <x:c r="L13" s="11" t="str">
        <x:v>Completa</x:v>
      </x:c>
      <x:c r="M13" s="11" t="str"/>
      <x:c r="N13" s="11" t="str">
        <x:v>Ver EventosAgricolas</x:v>
      </x:c>
    </x:row>
    <x:row r="14">
      <x:c r="A14" s="11" t="str">
        <x:v>SIE_FRA_005</x:v>
      </x:c>
      <x:c r="B14" s="11" t="str">
        <x:v>FIN_FRAILES</x:v>
      </x:c>
      <x:c r="C14" s="11" t="str">
        <x:v>UNI_FRA_CAMA_01</x:v>
      </x:c>
      <x:c r="D14" s="11" t="str">
        <x:v>CUL_AYOTE</x:v>
      </x:c>
      <x:c r="E14" s="14"/>
      <x:c r="F14" s="14" t="n">
        <x:v>46137</x:v>
      </x:c>
      <x:c r="G14" s="11" t="n">
        <x:v>1</x:v>
      </x:c>
      <x:c r="H14" s="11" t="str">
        <x:v>Crecimiento</x:v>
      </x:c>
      <x:c r="I14" s="14" t="n">
        <x:v>46137</x:v>
      </x:c>
      <x:c r="J14" s="14" t="n">
        <x:v>46227</x:v>
      </x:c>
      <x:c r="K14" s="14" t="n">
        <x:v>46257</x:v>
      </x:c>
      <x:c r="L14" s="11" t="str">
        <x:v>Completa</x:v>
      </x:c>
      <x:c r="M14" s="11" t="str"/>
      <x:c r="N14" s="11" t="str">
        <x:v>Ver EventosAgricolas</x:v>
      </x:c>
    </x:row>
    <x:row r="15">
      <x:c r="A15" s="11" t="str">
        <x:v>SIE_FRA_006</x:v>
      </x:c>
      <x:c r="B15" s="11" t="str">
        <x:v>FIN_FRAILES</x:v>
      </x:c>
      <x:c r="C15" s="11" t="str">
        <x:v>UNI_FRA_CAMA_01</x:v>
      </x:c>
      <x:c r="D15" s="11" t="str">
        <x:v>CUL_ALBAHACA</x:v>
      </x:c>
      <x:c r="E15" s="14"/>
      <x:c r="F15" s="14" t="n">
        <x:v>46137</x:v>
      </x:c>
      <x:c r="G15" s="11" t="n">
        <x:v>1</x:v>
      </x:c>
      <x:c r="H15" s="11" t="str">
        <x:v>Crecimiento</x:v>
      </x:c>
      <x:c r="I15" s="14" t="n">
        <x:v>46137</x:v>
      </x:c>
      <x:c r="J15" s="14" t="n">
        <x:v>46172</x:v>
      </x:c>
      <x:c r="K15" s="14" t="n">
        <x:v>46187</x:v>
      </x:c>
      <x:c r="L15" s="11" t="str">
        <x:v>Completa</x:v>
      </x:c>
      <x:c r="M15" s="11" t="str"/>
      <x:c r="N15" s="11" t="str">
        <x:v>Ver EventosAgricolas</x:v>
      </x:c>
    </x:row>
    <x:row r="16">
      <x:c r="A16" s="11" t="str">
        <x:v>SIE_FRA_007</x:v>
      </x:c>
      <x:c r="B16" s="11" t="str">
        <x:v>FIN_FRAILES</x:v>
      </x:c>
      <x:c r="C16" s="11" t="str">
        <x:v>UNI_FRA_CAMA_02</x:v>
      </x:c>
      <x:c r="D16" s="11" t="str">
        <x:v>CUL_TOMATE_CHERRY</x:v>
      </x:c>
      <x:c r="E16" s="14" t="n">
        <x:v>46137</x:v>
      </x:c>
      <x:c r="F16" s="14"/>
      <x:c r="G16" s="11" t="n">
        <x:v>6</x:v>
      </x:c>
      <x:c r="H16" s="11" t="str">
        <x:v>Crecimiento</x:v>
      </x:c>
      <x:c r="I16" s="14" t="n">
        <x:v>46137</x:v>
      </x:c>
      <x:c r="J16" s="14" t="n">
        <x:v>46212</x:v>
      </x:c>
      <x:c r="K16" s="14" t="n">
        <x:v>46237</x:v>
      </x:c>
      <x:c r="L16" s="11" t="str">
        <x:v>Completa</x:v>
      </x:c>
      <x:c r="M16" s="11" t="str"/>
      <x:c r="N16" s="11" t="str">
        <x:v>Ver EventosAgricolas</x:v>
      </x:c>
    </x:row>
    <x:row r="17">
      <x:c r="A17" s="11" t="str">
        <x:v>SIE_FRA_008</x:v>
      </x:c>
      <x:c r="B17" s="11" t="str">
        <x:v>FIN_FRAILES</x:v>
      </x:c>
      <x:c r="C17" s="11" t="str">
        <x:v>UNI_FRA_CAMA_02</x:v>
      </x:c>
      <x:c r="D17" s="11" t="str">
        <x:v>CUL_CULANTRO</x:v>
      </x:c>
      <x:c r="E17" s="14" t="n">
        <x:v>46172</x:v>
      </x:c>
      <x:c r="F17" s="14"/>
      <x:c r="G17" s="11" t="n">
        <x:v>20</x:v>
      </x:c>
      <x:c r="H17" s="11" t="str">
        <x:v>Crecimiento</x:v>
      </x:c>
      <x:c r="I17" s="14" t="n">
        <x:v>46172</x:v>
      </x:c>
      <x:c r="J17" s="14" t="n">
        <x:v>46212</x:v>
      </x:c>
      <x:c r="K17" s="14" t="n">
        <x:v>46232</x:v>
      </x:c>
      <x:c r="L17" s="11" t="str">
        <x:v>Completa</x:v>
      </x:c>
      <x:c r="M17" s="11" t="str"/>
      <x:c r="N17" s="11" t="str">
        <x:v>Ver EventosAgricolas</x:v>
      </x:c>
    </x:row>
    <x:row r="18">
      <x:c r="A18" s="11" t="str">
        <x:v>SIE_FRA_009</x:v>
      </x:c>
      <x:c r="B18" s="11" t="str">
        <x:v>FIN_FRAILES</x:v>
      </x:c>
      <x:c r="C18" s="11" t="str">
        <x:v>UNI_FRA_CAMA_02</x:v>
      </x:c>
      <x:c r="D18" s="11" t="str">
        <x:v>CUL_CEBOLLA_BLANCA</x:v>
      </x:c>
      <x:c r="E18" s="14" t="n">
        <x:v>46137</x:v>
      </x:c>
      <x:c r="F18" s="14" t="n">
        <x:v>46137</x:v>
      </x:c>
      <x:c r="G18" s="11" t="n">
        <x:v>50</x:v>
      </x:c>
      <x:c r="H18" s="11" t="str">
        <x:v>Crecimiento</x:v>
      </x:c>
      <x:c r="I18" s="14" t="n">
        <x:v>46137</x:v>
      </x:c>
      <x:c r="J18" s="14" t="n">
        <x:v>46227</x:v>
      </x:c>
      <x:c r="K18" s="14" t="n">
        <x:v>46257</x:v>
      </x:c>
      <x:c r="L18" s="11" t="str">
        <x:v>Completa</x:v>
      </x:c>
      <x:c r="M18" s="11" t="str"/>
      <x:c r="N18" s="11" t="str">
        <x:v>Ver EventosAgricolas</x:v>
      </x:c>
    </x:row>
    <x:row r="19">
      <x:c r="A19" s="11" t="str">
        <x:v>SIE_FRA_010</x:v>
      </x:c>
      <x:c r="B19" s="11" t="str">
        <x:v>FIN_FRAILES</x:v>
      </x:c>
      <x:c r="C19" s="11" t="str">
        <x:v>UNI_FRA_CAMA_03</x:v>
      </x:c>
      <x:c r="D19" s="11" t="str">
        <x:v>CUL_TOMATE_CHERRY</x:v>
      </x:c>
      <x:c r="E19" s="14" t="n">
        <x:v>46137</x:v>
      </x:c>
      <x:c r="F19" s="14"/>
      <x:c r="G19" s="11" t="n">
        <x:v>6</x:v>
      </x:c>
      <x:c r="H19" s="11" t="str">
        <x:v>Crecimiento</x:v>
      </x:c>
      <x:c r="I19" s="14" t="n">
        <x:v>46137</x:v>
      </x:c>
      <x:c r="J19" s="14" t="n">
        <x:v>46212</x:v>
      </x:c>
      <x:c r="K19" s="14" t="n">
        <x:v>46237</x:v>
      </x:c>
      <x:c r="L19" s="11" t="str">
        <x:v>Completa</x:v>
      </x:c>
      <x:c r="M19" s="11" t="str"/>
      <x:c r="N19" s="11" t="str">
        <x:v>Ver EventosAgricolas</x:v>
      </x:c>
    </x:row>
    <x:row r="20">
      <x:c r="A20" s="11" t="str">
        <x:v>SIE_FRA_011</x:v>
      </x:c>
      <x:c r="B20" s="11" t="str">
        <x:v>FIN_FRAILES</x:v>
      </x:c>
      <x:c r="C20" s="11" t="str">
        <x:v>UNI_FRA_CAMA_03</x:v>
      </x:c>
      <x:c r="D20" s="11" t="str">
        <x:v>CUL_CULANTRO</x:v>
      </x:c>
      <x:c r="E20" s="14" t="n">
        <x:v>46137</x:v>
      </x:c>
      <x:c r="F20" s="14"/>
      <x:c r="G20" s="11" t="n">
        <x:v>40</x:v>
      </x:c>
      <x:c r="H20" s="11" t="str">
        <x:v>Crecimiento</x:v>
      </x:c>
      <x:c r="I20" s="14" t="n">
        <x:v>46137</x:v>
      </x:c>
      <x:c r="J20" s="14" t="n">
        <x:v>46177</x:v>
      </x:c>
      <x:c r="K20" s="14" t="n">
        <x:v>46197</x:v>
      </x:c>
      <x:c r="L20" s="11" t="str">
        <x:v>Completa</x:v>
      </x:c>
      <x:c r="M20" s="11" t="str"/>
      <x:c r="N20" s="11" t="str">
        <x:v>Ver EventosAgricolas</x:v>
      </x:c>
    </x:row>
    <x:row r="21">
      <x:c r="A21" s="11" t="str">
        <x:v>SIE_FRA_012</x:v>
      </x:c>
      <x:c r="B21" s="11" t="str">
        <x:v>FIN_FRAILES</x:v>
      </x:c>
      <x:c r="C21" s="11" t="str">
        <x:v>UNI_FRA_CAMA_03</x:v>
      </x:c>
      <x:c r="D21" s="11" t="str">
        <x:v>CUL_CHILE_DULCE</x:v>
      </x:c>
      <x:c r="E21" s="14" t="n">
        <x:v>46137</x:v>
      </x:c>
      <x:c r="F21" s="14"/>
      <x:c r="G21" s="11" t="n">
        <x:v>6</x:v>
      </x:c>
      <x:c r="H21" s="11" t="str">
        <x:v>Crecimiento</x:v>
      </x:c>
      <x:c r="I21" s="14" t="n">
        <x:v>46137</x:v>
      </x:c>
      <x:c r="J21" s="14" t="n">
        <x:v>46212</x:v>
      </x:c>
      <x:c r="K21" s="14" t="n">
        <x:v>46237</x:v>
      </x:c>
      <x:c r="L21" s="11" t="str">
        <x:v>Completa</x:v>
      </x:c>
      <x:c r="M21" s="11" t="str"/>
      <x:c r="N21" s="11" t="str">
        <x:v>Ver EventosAgricolas</x:v>
      </x:c>
    </x:row>
    <x:row r="22">
      <x:c r="A22" s="11" t="str">
        <x:v>SIE_FRA_013</x:v>
      </x:c>
      <x:c r="B22" s="11" t="str">
        <x:v>FIN_FRAILES</x:v>
      </x:c>
      <x:c r="C22" s="11" t="str">
        <x:v>UNI_FRA_CAMA_05</x:v>
      </x:c>
      <x:c r="D22" s="11" t="str">
        <x:v>CUL_CEBOLLA_MORADA</x:v>
      </x:c>
      <x:c r="E22" s="14" t="n">
        <x:v>46172</x:v>
      </x:c>
      <x:c r="F22" s="14" t="n">
        <x:v>46172</x:v>
      </x:c>
      <x:c r="G22" s="11" t="n">
        <x:v>50</x:v>
      </x:c>
      <x:c r="H22" s="11" t="str">
        <x:v>Crecimiento</x:v>
      </x:c>
      <x:c r="I22" s="14" t="n">
        <x:v>46172</x:v>
      </x:c>
      <x:c r="J22" s="14" t="n">
        <x:v>46262</x:v>
      </x:c>
      <x:c r="K22" s="14" t="n">
        <x:v>46292</x:v>
      </x:c>
      <x:c r="L22" s="11" t="str">
        <x:v>Completa</x:v>
      </x:c>
      <x:c r="M22" s="11" t="str"/>
      <x:c r="N22" s="11" t="str">
        <x:v>Ver EventosAgricolas</x:v>
      </x:c>
    </x:row>
    <x:row r="23">
      <x:c r="A23" s="11" t="str">
        <x:v>SIE_FRA_014</x:v>
      </x:c>
      <x:c r="B23" s="11" t="str">
        <x:v>FIN_FRAILES</x:v>
      </x:c>
      <x:c r="C23" s="11" t="str">
        <x:v>UNI_FRA_CAMA_05</x:v>
      </x:c>
      <x:c r="D23" s="11" t="str">
        <x:v>CUL_ARUGULA</x:v>
      </x:c>
      <x:c r="E23" s="14" t="n">
        <x:v>46172</x:v>
      </x:c>
      <x:c r="F23" s="14"/>
      <x:c r="G23" s="11" t="n">
        <x:v>6</x:v>
      </x:c>
      <x:c r="H23" s="11" t="str">
        <x:v>Crecimiento</x:v>
      </x:c>
      <x:c r="I23" s="14" t="n">
        <x:v>46172</x:v>
      </x:c>
      <x:c r="J23" s="14" t="n">
        <x:v>46197</x:v>
      </x:c>
      <x:c r="K23" s="14" t="n">
        <x:v>46212</x:v>
      </x:c>
      <x:c r="L23" s="11" t="str">
        <x:v>Completa</x:v>
      </x:c>
      <x:c r="M23" s="11" t="str"/>
      <x:c r="N23" s="11" t="str">
        <x:v>Ver EventosAgricolas</x:v>
      </x:c>
    </x:row>
    <x:row r="24">
      <x:c r="A24" s="11" t="str">
        <x:v>SIE_FRA_015</x:v>
      </x:c>
      <x:c r="B24" s="11" t="str">
        <x:v>FIN_FRAILES</x:v>
      </x:c>
      <x:c r="C24" s="11" t="str">
        <x:v>UNI_FRA_CAMA_05</x:v>
      </x:c>
      <x:c r="D24" s="11" t="str">
        <x:v>CUL_DISPONIBLE</x:v>
      </x:c>
      <x:c r="E24" s="14"/>
      <x:c r="F24" s="14"/>
      <x:c r="G24" s="11" t="n">
        <x:v>1</x:v>
      </x:c>
      <x:c r="H24" s="11" t="str">
        <x:v>Disponible</x:v>
      </x:c>
      <x:c r="I24" s="14"/>
      <x:c r="J24" s="14"/>
      <x:c r="K24" s="14"/>
      <x:c r="L24" s="11" t="str">
        <x:v>Completa</x:v>
      </x:c>
      <x:c r="M24" s="11" t="str">
        <x:v>Espacio disponible</x:v>
      </x:c>
      <x:c r="N24" s="11" t="str">
        <x:v>Ver EventosAgricolas</x:v>
      </x:c>
    </x:row>
    <x:row r="25">
      <x:c r="A25" s="11" t="str">
        <x:v>SIE_FRA_016</x:v>
      </x:c>
      <x:c r="B25" s="11" t="str">
        <x:v>FIN_FRAILES</x:v>
      </x:c>
      <x:c r="C25" s="11" t="str">
        <x:v>UNI_FRA_CAMA_06</x:v>
      </x:c>
      <x:c r="D25" s="11" t="str">
        <x:v>CUL_ZUCCHINI</x:v>
      </x:c>
      <x:c r="E25" s="14" t="n">
        <x:v>46137</x:v>
      </x:c>
      <x:c r="F25" s="14"/>
      <x:c r="G25" s="11" t="n">
        <x:v>8</x:v>
      </x:c>
      <x:c r="H25" s="11" t="str">
        <x:v>Crecimiento</x:v>
      </x:c>
      <x:c r="I25" s="14" t="n">
        <x:v>46137</x:v>
      </x:c>
      <x:c r="J25" s="14" t="n">
        <x:v>46182</x:v>
      </x:c>
      <x:c r="K25" s="14" t="n">
        <x:v>46202</x:v>
      </x:c>
      <x:c r="L25" s="11" t="str">
        <x:v>Completa</x:v>
      </x:c>
      <x:c r="M25" s="11" t="str"/>
      <x:c r="N25" s="11" t="str">
        <x:v>Ver EventosAgricolas</x:v>
      </x:c>
    </x:row>
    <x:row r="26">
      <x:c r="A26" s="11" t="str">
        <x:v>SIE_FRA_017</x:v>
      </x:c>
      <x:c r="B26" s="11" t="str">
        <x:v>FIN_FRAILES</x:v>
      </x:c>
      <x:c r="C26" s="11" t="str">
        <x:v>UNI_FRA_CAMA_07</x:v>
      </x:c>
      <x:c r="D26" s="11" t="str">
        <x:v>CUL_ZANAHORIA</x:v>
      </x:c>
      <x:c r="E26" s="14" t="n">
        <x:v>46152</x:v>
      </x:c>
      <x:c r="F26" s="14"/>
      <x:c r="G26" s="11" t="n">
        <x:v>35</x:v>
      </x:c>
      <x:c r="H26" s="11" t="str">
        <x:v>Crecimiento</x:v>
      </x:c>
      <x:c r="I26" s="14" t="n">
        <x:v>46152</x:v>
      </x:c>
      <x:c r="J26" s="14" t="n">
        <x:v>46232</x:v>
      </x:c>
      <x:c r="K26" s="14" t="n">
        <x:v>46262</x:v>
      </x:c>
      <x:c r="L26" s="11" t="str">
        <x:v>Completa</x:v>
      </x:c>
      <x:c r="M26" s="11" t="str"/>
      <x:c r="N26" s="11" t="str">
        <x:v>Ver EventosAgricolas</x:v>
      </x:c>
    </x:row>
    <x:row r="27">
      <x:c r="A27" t="str">
        <x:v>SIE_FRA_018</x:v>
      </x:c>
      <x:c r="B27" t="str">
        <x:v>FIN_FRAILES</x:v>
      </x:c>
      <x:c r="C27" t="str">
        <x:v>UNI_FRA_CAMA_04</x:v>
      </x:c>
      <x:c r="D27" t="str">
        <x:v>CUL_DISPONIBLE</x:v>
      </x:c>
      <x:c r="E27" s="18"/>
      <x:c r="F27" s="18"/>
      <x:c r="G27" t="n">
        <x:v>1</x:v>
      </x:c>
      <x:c r="H27" t="str">
        <x:v>Disponible</x:v>
      </x:c>
      <x:c r="I27" s="18"/>
      <x:c r="J27" s="18"/>
      <x:c r="K27" s="18"/>
      <x:c r="L27" t="str">
        <x:v>Completa</x:v>
      </x:c>
      <x:c r="M27" t="str">
        <x:v>Espacio disponible</x:v>
      </x:c>
      <x:c r="N27" s="11" t="str">
        <x:v>Ver EventosAgricolas</x:v>
      </x:c>
    </x:row>
    <x:row r="28">
      <x:c r="E28" s="18"/>
      <x:c r="F28" s="18"/>
      <x:c r="I28" s="18"/>
      <x:c r="J28" s="18"/>
      <x:c r="K28" s="18"/>
    </x:row>
    <x:row r="29">
      <x:c r="E29" s="18"/>
      <x:c r="F29" s="18"/>
      <x:c r="I29" s="18"/>
      <x:c r="J29" s="18"/>
      <x:c r="K29" s="18"/>
    </x:row>
    <x:row r="30">
      <x:c r="E30" s="18"/>
      <x:c r="F30" s="18"/>
      <x:c r="I30" s="18"/>
      <x:c r="J30" s="18"/>
      <x:c r="K30" s="18"/>
    </x:row>
    <x:row r="31">
      <x:c r="E31" s="18"/>
      <x:c r="F31" s="18"/>
      <x:c r="I31" s="18"/>
      <x:c r="J31" s="18"/>
      <x:c r="K31" s="18"/>
    </x:row>
    <x:row r="32">
      <x:c r="E32" s="18"/>
      <x:c r="F32" s="18"/>
      <x:c r="I32" s="18"/>
      <x:c r="J32" s="18"/>
      <x:c r="K32" s="18"/>
    </x:row>
    <x:row r="33">
      <x:c r="E33" s="18"/>
      <x:c r="F33" s="18"/>
      <x:c r="I33" s="18"/>
      <x:c r="J33" s="18"/>
      <x:c r="K33" s="18"/>
    </x:row>
    <x:row r="34">
      <x:c r="E34" s="18"/>
      <x:c r="F34" s="18"/>
      <x:c r="I34" s="18"/>
      <x:c r="J34" s="18"/>
      <x:c r="K34" s="18"/>
    </x:row>
    <x:row r="35">
      <x:c r="E35" s="18"/>
      <x:c r="F35" s="18"/>
      <x:c r="I35" s="18"/>
      <x:c r="J35" s="18"/>
      <x:c r="K35" s="18"/>
    </x:row>
    <x:row r="36">
      <x:c r="E36" s="18"/>
      <x:c r="F36" s="18"/>
      <x:c r="I36" s="18"/>
      <x:c r="J36" s="18"/>
      <x:c r="K36" s="18"/>
    </x:row>
    <x:row r="37">
      <x:c r="E37" s="18"/>
      <x:c r="F37" s="18"/>
      <x:c r="I37" s="18"/>
      <x:c r="J37" s="18"/>
      <x:c r="K37" s="18"/>
    </x:row>
    <x:row r="38">
      <x:c r="E38" s="18"/>
      <x:c r="F38" s="18"/>
      <x:c r="I38" s="18"/>
      <x:c r="J38" s="18"/>
      <x:c r="K38" s="18"/>
    </x:row>
    <x:row r="39">
      <x:c r="E39" s="18"/>
      <x:c r="F39" s="18"/>
      <x:c r="I39" s="18"/>
      <x:c r="J39" s="18"/>
      <x:c r="K39" s="18"/>
    </x:row>
    <x:row r="40">
      <x:c r="E40" s="18"/>
      <x:c r="F40" s="18"/>
      <x:c r="I40" s="18"/>
      <x:c r="J40" s="18"/>
      <x:c r="K40" s="18"/>
    </x:row>
    <x:row r="41">
      <x:c r="E41" s="18"/>
      <x:c r="F41" s="18"/>
      <x:c r="I41" s="18"/>
      <x:c r="J41" s="18"/>
      <x:c r="K41" s="18"/>
    </x:row>
    <x:row r="42">
      <x:c r="E42" s="18"/>
      <x:c r="F42" s="18"/>
      <x:c r="I42" s="18"/>
      <x:c r="J42" s="18"/>
      <x:c r="K42" s="18"/>
    </x:row>
    <x:row r="43">
      <x:c r="E43" s="18"/>
      <x:c r="F43" s="18"/>
      <x:c r="I43" s="18"/>
      <x:c r="J43" s="18"/>
      <x:c r="K43" s="18"/>
    </x:row>
    <x:row r="44">
      <x:c r="E44" s="18"/>
      <x:c r="F44" s="18"/>
      <x:c r="I44" s="18"/>
      <x:c r="J44" s="18"/>
      <x:c r="K44" s="18"/>
    </x:row>
    <x:row r="45">
      <x:c r="E45" s="18"/>
      <x:c r="F45" s="18"/>
      <x:c r="I45" s="18"/>
      <x:c r="J45" s="18"/>
      <x:c r="K45" s="18"/>
    </x:row>
    <x:row r="46">
      <x:c r="E46" s="18"/>
      <x:c r="F46" s="18"/>
      <x:c r="I46" s="18"/>
      <x:c r="J46" s="18"/>
      <x:c r="K46" s="18"/>
    </x:row>
    <x:row r="47">
      <x:c r="E47" s="18"/>
      <x:c r="F47" s="18"/>
      <x:c r="I47" s="18"/>
      <x:c r="J47" s="18"/>
      <x:c r="K47" s="18"/>
    </x:row>
    <x:row r="48">
      <x:c r="E48" s="18"/>
      <x:c r="F48" s="18"/>
      <x:c r="I48" s="18"/>
      <x:c r="J48" s="18"/>
      <x:c r="K48" s="18"/>
    </x:row>
    <x:row r="49">
      <x:c r="E49" s="18"/>
      <x:c r="F49" s="18"/>
      <x:c r="I49" s="18"/>
      <x:c r="J49" s="18"/>
      <x:c r="K49" s="18"/>
    </x:row>
    <x:row r="50">
      <x:c r="E50" s="18"/>
      <x:c r="F50" s="18"/>
      <x:c r="I50" s="18"/>
      <x:c r="J50" s="18"/>
      <x:c r="K50" s="18"/>
    </x:row>
    <x:row r="51">
      <x:c r="E51" s="18"/>
      <x:c r="F51" s="18"/>
      <x:c r="I51" s="18"/>
      <x:c r="J51" s="18"/>
      <x:c r="K51" s="18"/>
    </x:row>
    <x:row r="52">
      <x:c r="E52" s="18"/>
      <x:c r="F52" s="18"/>
      <x:c r="I52" s="18"/>
      <x:c r="J52" s="18"/>
      <x:c r="K52" s="18"/>
    </x:row>
    <x:row r="53">
      <x:c r="E53" s="18"/>
      <x:c r="F53" s="18"/>
      <x:c r="I53" s="18"/>
      <x:c r="J53" s="18"/>
      <x:c r="K53" s="18"/>
    </x:row>
    <x:row r="54">
      <x:c r="E54" s="18"/>
      <x:c r="F54" s="18"/>
      <x:c r="I54" s="18"/>
      <x:c r="J54" s="18"/>
      <x:c r="K54" s="18"/>
    </x:row>
    <x:row r="55">
      <x:c r="E55" s="18"/>
      <x:c r="F55" s="18"/>
      <x:c r="I55" s="18"/>
      <x:c r="J55" s="18"/>
      <x:c r="K55" s="18"/>
    </x:row>
    <x:row r="56">
      <x:c r="E56" s="18"/>
      <x:c r="F56" s="18"/>
      <x:c r="I56" s="18"/>
      <x:c r="J56" s="18"/>
      <x:c r="K56" s="18"/>
    </x:row>
    <x:row r="57">
      <x:c r="E57" s="18"/>
      <x:c r="F57" s="18"/>
      <x:c r="I57" s="18"/>
      <x:c r="J57" s="18"/>
      <x:c r="K57" s="18"/>
    </x:row>
    <x:row r="58">
      <x:c r="E58" s="18"/>
      <x:c r="F58" s="18"/>
      <x:c r="I58" s="18"/>
      <x:c r="J58" s="18"/>
      <x:c r="K58" s="18"/>
    </x:row>
    <x:row r="59">
      <x:c r="E59" s="18"/>
      <x:c r="F59" s="18"/>
      <x:c r="I59" s="18"/>
      <x:c r="J59" s="18"/>
      <x:c r="K59" s="18"/>
    </x:row>
    <x:row r="60">
      <x:c r="E60" s="18"/>
      <x:c r="F60" s="18"/>
      <x:c r="I60" s="18"/>
      <x:c r="J60" s="18"/>
      <x:c r="K60" s="18"/>
    </x:row>
  </x:sheetData>
  <x:pageMargins left="0.7" right="0.7" top="0.75" bottom="0.75" header="0.3" footer="0.3"/>
  <x:tableParts count="1">
    <x:tablePart xmlns:r="http://schemas.openxmlformats.org/officeDocument/2006/relationships" r:id="Rbba4109d898f47c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10" hidden="0" customWidth="1"/>
    <x:col min="4" max="4" width="10" hidden="0" customWidth="1"/>
    <x:col min="5" max="5" width="11" hidden="0" customWidth="1"/>
    <x:col min="6" max="6" width="15" hidden="0" customWidth="1"/>
    <x:col min="7" max="7" width="10" hidden="0" customWidth="1"/>
    <x:col min="8" max="8" width="12" hidden="0" customWidth="1"/>
    <x:col min="9" max="9" width="10" hidden="0" customWidth="1"/>
    <x:col min="10" max="10" width="15" hidden="0" customWidth="1"/>
    <x:col min="11" max="11" width="15" hidden="0" customWidth="1"/>
    <x:col min="12" max="12" width="18" hidden="0" customWidth="1"/>
    <x:col min="13" max="13" width="12" hidden="0" customWidth="1"/>
    <x:col min="14" max="14" width="13" hidden="0" customWidth="1"/>
    <x:col min="15" max="15" width="13" hidden="0" customWidth="1"/>
    <x:col min="16" max="16" width="14" hidden="0" customWidth="1"/>
    <x:col min="17" max="17" width="13" hidden="0" customWidth="1"/>
  </x:cols>
  <x:sheetData>
    <x:row r="1">
      <x:c r="A1" s="10" t="str">
        <x:v>Siembra_ID</x:v>
      </x:c>
      <x:c r="B1" s="10" t="str">
        <x:v>Finca</x:v>
      </x:c>
      <x:c r="C1" s="10" t="str">
        <x:v>Finca_ID</x:v>
      </x:c>
      <x:c r="D1" s="10" t="str">
        <x:v>Unidad</x:v>
      </x:c>
      <x:c r="E1" s="10" t="str">
        <x:v>Unidad_ID</x:v>
      </x:c>
      <x:c r="F1" s="10" t="str">
        <x:v>Estado_Unidad</x:v>
      </x:c>
      <x:c r="G1" s="10" t="str">
        <x:v>Cultivo</x:v>
      </x:c>
      <x:c r="H1" s="10" t="str">
        <x:v>Cultivo_ID</x:v>
      </x:c>
      <x:c r="I1" s="10" t="str">
        <x:v>Cantidad</x:v>
      </x:c>
      <x:c r="J1" s="10" t="str">
        <x:v>Estado_Actual</x:v>
      </x:c>
      <x:c r="K1" s="10" t="str">
        <x:v>Fecha_Siembra</x:v>
      </x:c>
      <x:c r="L1" s="10" t="str">
        <x:v>Fecha_Trasplante</x:v>
      </x:c>
      <x:c r="M1" s="10" t="str">
        <x:v>Fecha_Base</x:v>
      </x:c>
      <x:c r="N1" s="10" t="str">
        <x:v>Cosecha_Min</x:v>
      </x:c>
      <x:c r="O1" s="10" t="str">
        <x:v>Cosecha_Max</x:v>
      </x:c>
      <x:c r="P1" s="10" t="str">
        <x:v>Alerta_Datos</x:v>
      </x:c>
      <x:c r="Q1" s="10" t="str">
        <x:v>Mes_Cosecha</x:v>
      </x:c>
      <x:c r="R1" s="23" t="str">
        <x:v>Evento_Agricola</x:v>
      </x:c>
    </x:row>
    <x:row r="2">
      <x:c r="A2" s="11" t="str">
        <x:v>SIE_MOR_001</x:v>
      </x:c>
      <x:c r="B2" s="11" t="str">
        <x:v>Moravia</x:v>
      </x:c>
      <x:c r="C2" s="11" t="str">
        <x:v>FIN_MORAVIA</x:v>
      </x:c>
      <x:c r="D2" s="11" t="str">
        <x:v>Cama Moravia 1</x:v>
      </x:c>
      <x:c r="E2" s="11" t="str">
        <x:v>UNI_MOR_CAMA_01</x:v>
      </x:c>
      <x:c r="F2" s="11" t="str">
        <x:v>Activa</x:v>
      </x:c>
      <x:c r="G2" s="11" t="str">
        <x:v>Lechuga</x:v>
      </x:c>
      <x:c r="H2" s="11" t="str">
        <x:v>CUL_LECHUGA</x:v>
      </x:c>
      <x:c r="I2" s="11" t="n">
        <x:v>10</x:v>
      </x:c>
      <x:c r="J2" s="11" t="str">
        <x:v>Crecimiento</x:v>
      </x:c>
      <x:c r="K2" s="14" t="n">
        <x:v>46128</x:v>
      </x:c>
      <x:c r="L2" s="14"/>
      <x:c r="M2" s="14" t="n">
        <x:v>46128</x:v>
      </x:c>
      <x:c r="N2" s="14" t="n">
        <x:v>46163</x:v>
      </x:c>
      <x:c r="O2" s="14" t="n">
        <x:v>46178</x:v>
      </x:c>
      <x:c r="P2" s="11" t="str"/>
      <x:c r="Q2" s="11" t="str">
        <x:v>2026-05</x:v>
      </x:c>
      <x:c r="R2" s="11" t="str">
        <x:v>Ver EventosAgricolas</x:v>
      </x:c>
    </x:row>
    <x:row r="3">
      <x:c r="A3" s="11" t="str">
        <x:v>SIE_MOR_002</x:v>
      </x:c>
      <x:c r="B3" s="11" t="str">
        <x:v>Moravia</x:v>
      </x:c>
      <x:c r="C3" s="11" t="str">
        <x:v>FIN_MORAVIA</x:v>
      </x:c>
      <x:c r="D3" s="11" t="str">
        <x:v>Cama Moravia 1</x:v>
      </x:c>
      <x:c r="E3" s="11" t="str">
        <x:v>UNI_MOR_CAMA_01</x:v>
      </x:c>
      <x:c r="F3" s="11" t="str">
        <x:v>Activa</x:v>
      </x:c>
      <x:c r="G3" s="11" t="str">
        <x:v>Cebollino</x:v>
      </x:c>
      <x:c r="H3" s="11" t="str">
        <x:v>CUL_CEBOLLINO</x:v>
      </x:c>
      <x:c r="I3" s="11" t="n">
        <x:v>1</x:v>
      </x:c>
      <x:c r="J3" s="11" t="str">
        <x:v>Crecimiento</x:v>
      </x:c>
      <x:c r="K3" s="14" t="n">
        <x:v>46032</x:v>
      </x:c>
      <x:c r="L3" s="14"/>
      <x:c r="M3" s="14" t="n">
        <x:v>46032</x:v>
      </x:c>
      <x:c r="N3" s="14" t="n">
        <x:v>46092</x:v>
      </x:c>
      <x:c r="O3" s="14" t="n">
        <x:v>46122</x:v>
      </x:c>
      <x:c r="P3" s="11" t="str"/>
      <x:c r="Q3" s="11" t="str">
        <x:v>2026-03</x:v>
      </x:c>
      <x:c r="R3" s="11" t="str">
        <x:v>Ver EventosAgricolas</x:v>
      </x:c>
    </x:row>
    <x:row r="4">
      <x:c r="A4" s="11" t="str">
        <x:v>SIE_MOR_003</x:v>
      </x:c>
      <x:c r="B4" s="11" t="str">
        <x:v>Moravia</x:v>
      </x:c>
      <x:c r="C4" s="11" t="str">
        <x:v>FIN_MORAVIA</x:v>
      </x:c>
      <x:c r="D4" s="11" t="str">
        <x:v>Cama Moravia 1</x:v>
      </x:c>
      <x:c r="E4" s="11" t="str">
        <x:v>UNI_MOR_CAMA_01</x:v>
      </x:c>
      <x:c r="F4" s="11" t="str">
        <x:v>Activa</x:v>
      </x:c>
      <x:c r="G4" s="11" t="str">
        <x:v>Tomate cherry</x:v>
      </x:c>
      <x:c r="H4" s="11" t="str">
        <x:v>CUL_TOMATE_CHERRY</x:v>
      </x:c>
      <x:c r="I4" s="11" t="n">
        <x:v>1</x:v>
      </x:c>
      <x:c r="J4" s="11" t="str">
        <x:v>Floración</x:v>
      </x:c>
      <x:c r="K4" s="14" t="n">
        <x:v>46128</x:v>
      </x:c>
      <x:c r="L4" s="14"/>
      <x:c r="M4" s="14" t="n">
        <x:v>46128</x:v>
      </x:c>
      <x:c r="N4" s="14" t="n">
        <x:v>46203</x:v>
      </x:c>
      <x:c r="O4" s="14" t="n">
        <x:v>46228</x:v>
      </x:c>
      <x:c r="P4" s="11" t="str"/>
      <x:c r="Q4" s="11" t="str">
        <x:v>2026-06</x:v>
      </x:c>
      <x:c r="R4" s="11" t="str">
        <x:v>Ver EventosAgricolas</x:v>
      </x:c>
    </x:row>
    <x:row r="5">
      <x:c r="A5" s="11" t="str">
        <x:v>SIE_MOR_004</x:v>
      </x:c>
      <x:c r="B5" s="11" t="str">
        <x:v>Moravia</x:v>
      </x:c>
      <x:c r="C5" s="11" t="str">
        <x:v>FIN_MORAVIA</x:v>
      </x:c>
      <x:c r="D5" s="11" t="str">
        <x:v>Cama Moravia 1</x:v>
      </x:c>
      <x:c r="E5" s="11" t="str">
        <x:v>UNI_MOR_CAMA_01</x:v>
      </x:c>
      <x:c r="F5" s="11" t="str">
        <x:v>Activa</x:v>
      </x:c>
      <x:c r="G5" s="11" t="str">
        <x:v>Perejil italiano</x:v>
      </x:c>
      <x:c r="H5" s="11" t="str">
        <x:v>CUL_PEREJIL_ITALIANO</x:v>
      </x:c>
      <x:c r="I5" s="11" t="n">
        <x:v>1</x:v>
      </x:c>
      <x:c r="J5" s="11" t="str">
        <x:v>Crecimiento</x:v>
      </x:c>
      <x:c r="K5" s="14" t="n">
        <x:v>46032</x:v>
      </x:c>
      <x:c r="L5" s="14"/>
      <x:c r="M5" s="14" t="n">
        <x:v>46032</x:v>
      </x:c>
      <x:c r="N5" s="14" t="n">
        <x:v>46102</x:v>
      </x:c>
      <x:c r="O5" s="14" t="n">
        <x:v>46132</x:v>
      </x:c>
      <x:c r="P5" s="11" t="str"/>
      <x:c r="Q5" s="11" t="str">
        <x:v>2026-03</x:v>
      </x:c>
      <x:c r="R5" s="11" t="str">
        <x:v>Ver EventosAgricolas</x:v>
      </x:c>
    </x:row>
    <x:row r="6">
      <x:c r="A6" s="11" t="str">
        <x:v>SIE_MOR_005</x:v>
      </x:c>
      <x:c r="B6" s="11" t="str">
        <x:v>Moravia</x:v>
      </x:c>
      <x:c r="C6" s="11" t="str">
        <x:v>FIN_MORAVIA</x:v>
      </x:c>
      <x:c r="D6" s="11" t="str">
        <x:v>Cama Moravia 1</x:v>
      </x:c>
      <x:c r="E6" s="11" t="str">
        <x:v>UNI_MOR_CAMA_01</x:v>
      </x:c>
      <x:c r="F6" s="11" t="str">
        <x:v>Activa</x:v>
      </x:c>
      <x:c r="G6" s="11" t="str">
        <x:v>Perejil normal</x:v>
      </x:c>
      <x:c r="H6" s="11" t="str">
        <x:v>CUL_PEREJIL_NORMAL</x:v>
      </x:c>
      <x:c r="I6" s="11" t="n">
        <x:v>1</x:v>
      </x:c>
      <x:c r="J6" s="11" t="str">
        <x:v>Crecimiento</x:v>
      </x:c>
      <x:c r="K6" s="14" t="n">
        <x:v>46032</x:v>
      </x:c>
      <x:c r="L6" s="14"/>
      <x:c r="M6" s="14" t="n">
        <x:v>46032</x:v>
      </x:c>
      <x:c r="N6" s="14" t="n">
        <x:v>46102</x:v>
      </x:c>
      <x:c r="O6" s="14" t="n">
        <x:v>46132</x:v>
      </x:c>
      <x:c r="P6" s="11" t="str"/>
      <x:c r="Q6" s="11" t="str">
        <x:v>2026-03</x:v>
      </x:c>
      <x:c r="R6" s="11" t="str">
        <x:v>Ver EventosAgricolas</x:v>
      </x:c>
    </x:row>
    <x:row r="7">
      <x:c r="A7" s="11" t="str">
        <x:v>SIE_MOR_006</x:v>
      </x:c>
      <x:c r="B7" s="11" t="str">
        <x:v>Moravia</x:v>
      </x:c>
      <x:c r="C7" s="11" t="str">
        <x:v>FIN_MORAVIA</x:v>
      </x:c>
      <x:c r="D7" s="11" t="str">
        <x:v>Cama Moravia 1</x:v>
      </x:c>
      <x:c r="E7" s="11" t="str">
        <x:v>UNI_MOR_CAMA_01</x:v>
      </x:c>
      <x:c r="F7" s="11" t="str">
        <x:v>Activa</x:v>
      </x:c>
      <x:c r="G7" s="11" t="str">
        <x:v>Espinaca</x:v>
      </x:c>
      <x:c r="H7" s="11" t="str">
        <x:v>CUL_ESPINACA</x:v>
      </x:c>
      <x:c r="I7" s="11" t="n">
        <x:v>1</x:v>
      </x:c>
      <x:c r="J7" s="11" t="str">
        <x:v>Crecimiento</x:v>
      </x:c>
      <x:c r="K7" s="14" t="n">
        <x:v>46128</x:v>
      </x:c>
      <x:c r="L7" s="14"/>
      <x:c r="M7" s="14" t="n">
        <x:v>46128</x:v>
      </x:c>
      <x:c r="N7" s="14" t="n">
        <x:v>46168</x:v>
      </x:c>
      <x:c r="O7" s="14" t="n">
        <x:v>46188</x:v>
      </x:c>
      <x:c r="P7" s="11" t="str"/>
      <x:c r="Q7" s="11" t="str">
        <x:v>2026-05</x:v>
      </x:c>
      <x:c r="R7" s="11" t="str">
        <x:v>Ver EventosAgricolas</x:v>
      </x:c>
    </x:row>
    <x:row r="8">
      <x:c r="A8" s="11" t="str">
        <x:v>SIE_MOR_007</x:v>
      </x:c>
      <x:c r="B8" s="11" t="str">
        <x:v>Moravia</x:v>
      </x:c>
      <x:c r="C8" s="11" t="str">
        <x:v>FIN_MORAVIA</x:v>
      </x:c>
      <x:c r="D8" s="11" t="str">
        <x:v>Cama Moravia 1</x:v>
      </x:c>
      <x:c r="E8" s="11" t="str">
        <x:v>UNI_MOR_CAMA_01</x:v>
      </x:c>
      <x:c r="F8" s="11" t="str">
        <x:v>Activa</x:v>
      </x:c>
      <x:c r="G8" s="11" t="str">
        <x:v>Apio</x:v>
      </x:c>
      <x:c r="H8" s="11" t="str">
        <x:v>CUL_APIO</x:v>
      </x:c>
      <x:c r="I8" s="11" t="n">
        <x:v>1</x:v>
      </x:c>
      <x:c r="J8" s="11" t="str">
        <x:v>Crecimiento</x:v>
      </x:c>
      <x:c r="K8" s="14" t="n">
        <x:v>46101</x:v>
      </x:c>
      <x:c r="L8" s="14"/>
      <x:c r="M8" s="14" t="n">
        <x:v>46101</x:v>
      </x:c>
      <x:c r="N8" s="14" t="n">
        <x:v>46191</x:v>
      </x:c>
      <x:c r="O8" s="14" t="n">
        <x:v>46221</x:v>
      </x:c>
      <x:c r="P8" s="11" t="str"/>
      <x:c r="Q8" s="11" t="str">
        <x:v>2026-06</x:v>
      </x:c>
      <x:c r="R8" s="11" t="str">
        <x:v>Ver EventosAgricolas</x:v>
      </x:c>
    </x:row>
    <x:row r="9">
      <x:c r="A9" s="11" t="str">
        <x:v>SIE_MOR_008</x:v>
      </x:c>
      <x:c r="B9" s="11" t="str">
        <x:v>Moravia</x:v>
      </x:c>
      <x:c r="C9" s="11" t="str">
        <x:v>FIN_MORAVIA</x:v>
      </x:c>
      <x:c r="D9" s="11" t="str">
        <x:v>Cama Moravia 1</x:v>
      </x:c>
      <x:c r="E9" s="11" t="str">
        <x:v>UNI_MOR_CAMA_01</x:v>
      </x:c>
      <x:c r="F9" s="11" t="str">
        <x:v>Activa</x:v>
      </x:c>
      <x:c r="G9" s="11" t="str">
        <x:v>Disponible</x:v>
      </x:c>
      <x:c r="H9" s="11" t="str">
        <x:v>CUL_DISPONIBLE</x:v>
      </x:c>
      <x:c r="I9" s="11" t="n">
        <x:v>1</x:v>
      </x:c>
      <x:c r="J9" s="11" t="str">
        <x:v>Disponible</x:v>
      </x:c>
      <x:c r="K9" s="14"/>
      <x:c r="L9" s="14"/>
      <x:c r="M9" s="14"/>
      <x:c r="N9" s="14"/>
      <x:c r="O9" s="14"/>
      <x:c r="P9" s="11" t="str"/>
      <x:c r="Q9" s="11" t="str">
        <x:v>Sin fecha</x:v>
      </x:c>
      <x:c r="R9" s="11" t="str">
        <x:v>Ver EventosAgricolas</x:v>
      </x:c>
    </x:row>
    <x:row r="10">
      <x:c r="A10" s="11" t="str">
        <x:v>SIE_FRA_001</x:v>
      </x:c>
      <x:c r="B10" s="11" t="str">
        <x:v>Frailes</x:v>
      </x:c>
      <x:c r="C10" s="11" t="str">
        <x:v>FIN_FRAILES</x:v>
      </x:c>
      <x:c r="D10" s="11" t="str">
        <x:v>Cama Frailes 1</x:v>
      </x:c>
      <x:c r="E10" s="11" t="str">
        <x:v>UNI_FRA_CAMA_01</x:v>
      </x:c>
      <x:c r="F10" s="11" t="str">
        <x:v>Activa</x:v>
      </x:c>
      <x:c r="G10" s="11" t="str">
        <x:v>Lechuga</x:v>
      </x:c>
      <x:c r="H10" s="11" t="str">
        <x:v>CUL_LECHUGA</x:v>
      </x:c>
      <x:c r="I10" s="11" t="n">
        <x:v>9</x:v>
      </x:c>
      <x:c r="J10" s="11" t="str">
        <x:v>Crecimiento</x:v>
      </x:c>
      <x:c r="K10" s="14"/>
      <x:c r="L10" s="14" t="n">
        <x:v>46137</x:v>
      </x:c>
      <x:c r="M10" s="14" t="n">
        <x:v>46137</x:v>
      </x:c>
      <x:c r="N10" s="14" t="n">
        <x:v>46172</x:v>
      </x:c>
      <x:c r="O10" s="14" t="n">
        <x:v>46187</x:v>
      </x:c>
      <x:c r="P10" s="11" t="str"/>
      <x:c r="Q10" s="11" t="str">
        <x:v>2026-05</x:v>
      </x:c>
      <x:c r="R10" s="11" t="str">
        <x:v>Ver EventosAgricolas</x:v>
      </x:c>
    </x:row>
    <x:row r="11">
      <x:c r="A11" s="11" t="str">
        <x:v>SIE_FRA_002</x:v>
      </x:c>
      <x:c r="B11" s="11" t="str">
        <x:v>Frailes</x:v>
      </x:c>
      <x:c r="C11" s="11" t="str">
        <x:v>FIN_FRAILES</x:v>
      </x:c>
      <x:c r="D11" s="11" t="str">
        <x:v>Cama Frailes 1</x:v>
      </x:c>
      <x:c r="E11" s="11" t="str">
        <x:v>UNI_FRA_CAMA_01</x:v>
      </x:c>
      <x:c r="F11" s="11" t="str">
        <x:v>Activa</x:v>
      </x:c>
      <x:c r="G11" s="11" t="str">
        <x:v>Acelga</x:v>
      </x:c>
      <x:c r="H11" s="11" t="str">
        <x:v>CUL_ACELGA</x:v>
      </x:c>
      <x:c r="I11" s="11" t="n">
        <x:v>5</x:v>
      </x:c>
      <x:c r="J11" s="11" t="str">
        <x:v>Crecimiento</x:v>
      </x:c>
      <x:c r="K11" s="14"/>
      <x:c r="L11" s="14" t="n">
        <x:v>46172</x:v>
      </x:c>
      <x:c r="M11" s="14" t="n">
        <x:v>46172</x:v>
      </x:c>
      <x:c r="N11" s="14" t="n">
        <x:v>46217</x:v>
      </x:c>
      <x:c r="O11" s="14" t="n">
        <x:v>46237</x:v>
      </x:c>
      <x:c r="P11" s="11" t="str"/>
      <x:c r="Q11" s="11" t="str">
        <x:v>2026-07</x:v>
      </x:c>
      <x:c r="R11" s="11" t="str">
        <x:v>Ver EventosAgricolas</x:v>
      </x:c>
    </x:row>
    <x:row r="12">
      <x:c r="A12" s="11" t="str">
        <x:v>SIE_FRA_003</x:v>
      </x:c>
      <x:c r="B12" s="11" t="str">
        <x:v>Frailes</x:v>
      </x:c>
      <x:c r="C12" s="11" t="str">
        <x:v>FIN_FRAILES</x:v>
      </x:c>
      <x:c r="D12" s="11" t="str">
        <x:v>Cama Frailes 1</x:v>
      </x:c>
      <x:c r="E12" s="11" t="str">
        <x:v>UNI_FRA_CAMA_01</x:v>
      </x:c>
      <x:c r="F12" s="11" t="str">
        <x:v>Activa</x:v>
      </x:c>
      <x:c r="G12" s="11" t="str">
        <x:v>Pepino</x:v>
      </x:c>
      <x:c r="H12" s="11" t="str">
        <x:v>CUL_PEPINO</x:v>
      </x:c>
      <x:c r="I12" s="11" t="n">
        <x:v>2</x:v>
      </x:c>
      <x:c r="J12" s="11" t="str">
        <x:v>Floración</x:v>
      </x:c>
      <x:c r="K12" s="14"/>
      <x:c r="L12" s="14" t="n">
        <x:v>46137</x:v>
      </x:c>
      <x:c r="M12" s="14" t="n">
        <x:v>46137</x:v>
      </x:c>
      <x:c r="N12" s="14" t="n">
        <x:v>46182</x:v>
      </x:c>
      <x:c r="O12" s="14" t="n">
        <x:v>46202</x:v>
      </x:c>
      <x:c r="P12" s="11" t="str"/>
      <x:c r="Q12" s="11" t="str">
        <x:v>2026-06</x:v>
      </x:c>
      <x:c r="R12" s="11" t="str">
        <x:v>Ver EventosAgricolas</x:v>
      </x:c>
    </x:row>
    <x:row r="13">
      <x:c r="A13" s="11" t="str">
        <x:v>SIE_FRA_004</x:v>
      </x:c>
      <x:c r="B13" s="11" t="str">
        <x:v>Frailes</x:v>
      </x:c>
      <x:c r="C13" s="11" t="str">
        <x:v>FIN_FRAILES</x:v>
      </x:c>
      <x:c r="D13" s="11" t="str">
        <x:v>Cama Frailes 1</x:v>
      </x:c>
      <x:c r="E13" s="11" t="str">
        <x:v>UNI_FRA_CAMA_01</x:v>
      </x:c>
      <x:c r="F13" s="11" t="str">
        <x:v>Activa</x:v>
      </x:c>
      <x:c r="G13" s="11" t="str">
        <x:v>Sandía</x:v>
      </x:c>
      <x:c r="H13" s="11" t="str">
        <x:v>CUL_SANDIA</x:v>
      </x:c>
      <x:c r="I13" s="11" t="n">
        <x:v>2</x:v>
      </x:c>
      <x:c r="J13" s="11" t="str">
        <x:v>Crecimiento</x:v>
      </x:c>
      <x:c r="K13" s="14"/>
      <x:c r="L13" s="14" t="n">
        <x:v>46137</x:v>
      </x:c>
      <x:c r="M13" s="14" t="n">
        <x:v>46137</x:v>
      </x:c>
      <x:c r="N13" s="14" t="n">
        <x:v>46217</x:v>
      </x:c>
      <x:c r="O13" s="14" t="n">
        <x:v>46237</x:v>
      </x:c>
      <x:c r="P13" s="11" t="str"/>
      <x:c r="Q13" s="11" t="str">
        <x:v>2026-07</x:v>
      </x:c>
      <x:c r="R13" s="11" t="str">
        <x:v>Ver EventosAgricolas</x:v>
      </x:c>
    </x:row>
    <x:row r="14">
      <x:c r="A14" s="11" t="str">
        <x:v>SIE_FRA_005</x:v>
      </x:c>
      <x:c r="B14" s="11" t="str">
        <x:v>Frailes</x:v>
      </x:c>
      <x:c r="C14" s="11" t="str">
        <x:v>FIN_FRAILES</x:v>
      </x:c>
      <x:c r="D14" s="11" t="str">
        <x:v>Cama Frailes 1</x:v>
      </x:c>
      <x:c r="E14" s="11" t="str">
        <x:v>UNI_FRA_CAMA_01</x:v>
      </x:c>
      <x:c r="F14" s="11" t="str">
        <x:v>Activa</x:v>
      </x:c>
      <x:c r="G14" s="11" t="str">
        <x:v>Ayote</x:v>
      </x:c>
      <x:c r="H14" s="11" t="str">
        <x:v>CUL_AYOTE</x:v>
      </x:c>
      <x:c r="I14" s="11" t="n">
        <x:v>1</x:v>
      </x:c>
      <x:c r="J14" s="11" t="str">
        <x:v>Crecimiento</x:v>
      </x:c>
      <x:c r="K14" s="14"/>
      <x:c r="L14" s="14" t="n">
        <x:v>46137</x:v>
      </x:c>
      <x:c r="M14" s="14" t="n">
        <x:v>46137</x:v>
      </x:c>
      <x:c r="N14" s="14" t="n">
        <x:v>46227</x:v>
      </x:c>
      <x:c r="O14" s="14" t="n">
        <x:v>46257</x:v>
      </x:c>
      <x:c r="P14" s="11" t="str"/>
      <x:c r="Q14" s="11" t="str">
        <x:v>2026-07</x:v>
      </x:c>
      <x:c r="R14" s="11" t="str">
        <x:v>Ver EventosAgricolas</x:v>
      </x:c>
    </x:row>
    <x:row r="15">
      <x:c r="A15" s="11" t="str">
        <x:v>SIE_FRA_006</x:v>
      </x:c>
      <x:c r="B15" s="11" t="str">
        <x:v>Frailes</x:v>
      </x:c>
      <x:c r="C15" s="11" t="str">
        <x:v>FIN_FRAILES</x:v>
      </x:c>
      <x:c r="D15" s="11" t="str">
        <x:v>Cama Frailes 1</x:v>
      </x:c>
      <x:c r="E15" s="11" t="str">
        <x:v>UNI_FRA_CAMA_01</x:v>
      </x:c>
      <x:c r="F15" s="11" t="str">
        <x:v>Activa</x:v>
      </x:c>
      <x:c r="G15" s="11" t="str">
        <x:v>Albahaca</x:v>
      </x:c>
      <x:c r="H15" s="11" t="str">
        <x:v>CUL_ALBAHACA</x:v>
      </x:c>
      <x:c r="I15" s="11" t="n">
        <x:v>1</x:v>
      </x:c>
      <x:c r="J15" s="11" t="str">
        <x:v>Crecimiento</x:v>
      </x:c>
      <x:c r="K15" s="14"/>
      <x:c r="L15" s="14" t="n">
        <x:v>46137</x:v>
      </x:c>
      <x:c r="M15" s="14" t="n">
        <x:v>46137</x:v>
      </x:c>
      <x:c r="N15" s="14" t="n">
        <x:v>46172</x:v>
      </x:c>
      <x:c r="O15" s="14" t="n">
        <x:v>46187</x:v>
      </x:c>
      <x:c r="P15" s="11" t="str"/>
      <x:c r="Q15" s="11" t="str">
        <x:v>2026-05</x:v>
      </x:c>
      <x:c r="R15" s="11" t="str">
        <x:v>Ver EventosAgricolas</x:v>
      </x:c>
    </x:row>
    <x:row r="16">
      <x:c r="A16" s="11" t="str">
        <x:v>SIE_FRA_007</x:v>
      </x:c>
      <x:c r="B16" s="11" t="str">
        <x:v>Frailes</x:v>
      </x:c>
      <x:c r="C16" s="11" t="str">
        <x:v>FIN_FRAILES</x:v>
      </x:c>
      <x:c r="D16" s="11" t="str">
        <x:v>Cama Frailes 2</x:v>
      </x:c>
      <x:c r="E16" s="11" t="str">
        <x:v>UNI_FRA_CAMA_02</x:v>
      </x:c>
      <x:c r="F16" s="11" t="str">
        <x:v>Activa</x:v>
      </x:c>
      <x:c r="G16" s="11" t="str">
        <x:v>Tomate cherry</x:v>
      </x:c>
      <x:c r="H16" s="11" t="str">
        <x:v>CUL_TOMATE_CHERRY</x:v>
      </x:c>
      <x:c r="I16" s="11" t="n">
        <x:v>6</x:v>
      </x:c>
      <x:c r="J16" s="11" t="str">
        <x:v>Crecimiento</x:v>
      </x:c>
      <x:c r="K16" s="14" t="n">
        <x:v>46137</x:v>
      </x:c>
      <x:c r="L16" s="14"/>
      <x:c r="M16" s="14" t="n">
        <x:v>46137</x:v>
      </x:c>
      <x:c r="N16" s="14" t="n">
        <x:v>46212</x:v>
      </x:c>
      <x:c r="O16" s="14" t="n">
        <x:v>46237</x:v>
      </x:c>
      <x:c r="P16" s="11" t="str"/>
      <x:c r="Q16" s="11" t="str">
        <x:v>2026-07</x:v>
      </x:c>
      <x:c r="R16" s="11" t="str">
        <x:v>Ver EventosAgricolas</x:v>
      </x:c>
    </x:row>
    <x:row r="17">
      <x:c r="A17" s="11" t="str">
        <x:v>SIE_FRA_008</x:v>
      </x:c>
      <x:c r="B17" s="11" t="str">
        <x:v>Frailes</x:v>
      </x:c>
      <x:c r="C17" s="11" t="str">
        <x:v>FIN_FRAILES</x:v>
      </x:c>
      <x:c r="D17" s="11" t="str">
        <x:v>Cama Frailes 2</x:v>
      </x:c>
      <x:c r="E17" s="11" t="str">
        <x:v>UNI_FRA_CAMA_02</x:v>
      </x:c>
      <x:c r="F17" s="11" t="str">
        <x:v>Activa</x:v>
      </x:c>
      <x:c r="G17" s="11" t="str">
        <x:v>Culantro</x:v>
      </x:c>
      <x:c r="H17" s="11" t="str">
        <x:v>CUL_CULANTRO</x:v>
      </x:c>
      <x:c r="I17" s="11" t="n">
        <x:v>20</x:v>
      </x:c>
      <x:c r="J17" s="11" t="str">
        <x:v>Crecimiento</x:v>
      </x:c>
      <x:c r="K17" s="14" t="n">
        <x:v>46172</x:v>
      </x:c>
      <x:c r="L17" s="14"/>
      <x:c r="M17" s="14" t="n">
        <x:v>46172</x:v>
      </x:c>
      <x:c r="N17" s="14" t="n">
        <x:v>46212</x:v>
      </x:c>
      <x:c r="O17" s="14" t="n">
        <x:v>46232</x:v>
      </x:c>
      <x:c r="P17" s="11" t="str"/>
      <x:c r="Q17" s="11" t="str">
        <x:v>2026-07</x:v>
      </x:c>
      <x:c r="R17" s="11" t="str">
        <x:v>Ver EventosAgricolas</x:v>
      </x:c>
    </x:row>
    <x:row r="18">
      <x:c r="A18" s="11" t="str">
        <x:v>SIE_FRA_009</x:v>
      </x:c>
      <x:c r="B18" s="11" t="str">
        <x:v>Frailes</x:v>
      </x:c>
      <x:c r="C18" s="11" t="str">
        <x:v>FIN_FRAILES</x:v>
      </x:c>
      <x:c r="D18" s="11" t="str">
        <x:v>Cama Frailes 2</x:v>
      </x:c>
      <x:c r="E18" s="11" t="str">
        <x:v>UNI_FRA_CAMA_02</x:v>
      </x:c>
      <x:c r="F18" s="11" t="str">
        <x:v>Activa</x:v>
      </x:c>
      <x:c r="G18" s="11" t="str">
        <x:v>Cebolla blanca</x:v>
      </x:c>
      <x:c r="H18" s="11" t="str">
        <x:v>CUL_CEBOLLA_BLANCA</x:v>
      </x:c>
      <x:c r="I18" s="11" t="n">
        <x:v>50</x:v>
      </x:c>
      <x:c r="J18" s="11" t="str">
        <x:v>Crecimiento</x:v>
      </x:c>
      <x:c r="K18" s="14" t="n">
        <x:v>46137</x:v>
      </x:c>
      <x:c r="L18" s="14" t="n">
        <x:v>46137</x:v>
      </x:c>
      <x:c r="M18" s="14" t="n">
        <x:v>46137</x:v>
      </x:c>
      <x:c r="N18" s="14" t="n">
        <x:v>46227</x:v>
      </x:c>
      <x:c r="O18" s="14" t="n">
        <x:v>46257</x:v>
      </x:c>
      <x:c r="P18" s="11" t="str"/>
      <x:c r="Q18" s="11" t="str">
        <x:v>2026-07</x:v>
      </x:c>
      <x:c r="R18" s="11" t="str">
        <x:v>Ver EventosAgricolas</x:v>
      </x:c>
    </x:row>
    <x:row r="19">
      <x:c r="A19" s="11" t="str">
        <x:v>SIE_FRA_010</x:v>
      </x:c>
      <x:c r="B19" s="11" t="str">
        <x:v>Frailes</x:v>
      </x:c>
      <x:c r="C19" s="11" t="str">
        <x:v>FIN_FRAILES</x:v>
      </x:c>
      <x:c r="D19" s="11" t="str">
        <x:v>Cama Frailes 3</x:v>
      </x:c>
      <x:c r="E19" s="11" t="str">
        <x:v>UNI_FRA_CAMA_03</x:v>
      </x:c>
      <x:c r="F19" s="11" t="str">
        <x:v>Activa</x:v>
      </x:c>
      <x:c r="G19" s="11" t="str">
        <x:v>Tomate cherry</x:v>
      </x:c>
      <x:c r="H19" s="11" t="str">
        <x:v>CUL_TOMATE_CHERRY</x:v>
      </x:c>
      <x:c r="I19" s="11" t="n">
        <x:v>6</x:v>
      </x:c>
      <x:c r="J19" s="11" t="str">
        <x:v>Crecimiento</x:v>
      </x:c>
      <x:c r="K19" s="14" t="n">
        <x:v>46137</x:v>
      </x:c>
      <x:c r="L19" s="14"/>
      <x:c r="M19" s="14" t="n">
        <x:v>46137</x:v>
      </x:c>
      <x:c r="N19" s="14" t="n">
        <x:v>46212</x:v>
      </x:c>
      <x:c r="O19" s="14" t="n">
        <x:v>46237</x:v>
      </x:c>
      <x:c r="P19" s="11" t="str"/>
      <x:c r="Q19" s="11" t="str">
        <x:v>2026-07</x:v>
      </x:c>
      <x:c r="R19" s="11" t="str">
        <x:v>Ver EventosAgricolas</x:v>
      </x:c>
    </x:row>
    <x:row r="20">
      <x:c r="A20" s="11" t="str">
        <x:v>SIE_FRA_011</x:v>
      </x:c>
      <x:c r="B20" s="11" t="str">
        <x:v>Frailes</x:v>
      </x:c>
      <x:c r="C20" s="11" t="str">
        <x:v>FIN_FRAILES</x:v>
      </x:c>
      <x:c r="D20" s="11" t="str">
        <x:v>Cama Frailes 3</x:v>
      </x:c>
      <x:c r="E20" s="11" t="str">
        <x:v>UNI_FRA_CAMA_03</x:v>
      </x:c>
      <x:c r="F20" s="11" t="str">
        <x:v>Activa</x:v>
      </x:c>
      <x:c r="G20" s="11" t="str">
        <x:v>Culantro</x:v>
      </x:c>
      <x:c r="H20" s="11" t="str">
        <x:v>CUL_CULANTRO</x:v>
      </x:c>
      <x:c r="I20" s="11" t="n">
        <x:v>40</x:v>
      </x:c>
      <x:c r="J20" s="11" t="str">
        <x:v>Crecimiento</x:v>
      </x:c>
      <x:c r="K20" s="14" t="n">
        <x:v>46137</x:v>
      </x:c>
      <x:c r="L20" s="14"/>
      <x:c r="M20" s="14" t="n">
        <x:v>46137</x:v>
      </x:c>
      <x:c r="N20" s="14" t="n">
        <x:v>46177</x:v>
      </x:c>
      <x:c r="O20" s="14" t="n">
        <x:v>46197</x:v>
      </x:c>
      <x:c r="P20" s="11" t="str"/>
      <x:c r="Q20" s="11" t="str">
        <x:v>2026-06</x:v>
      </x:c>
      <x:c r="R20" s="11" t="str">
        <x:v>Ver EventosAgricolas</x:v>
      </x:c>
    </x:row>
    <x:row r="21">
      <x:c r="A21" s="11" t="str">
        <x:v>SIE_FRA_012</x:v>
      </x:c>
      <x:c r="B21" s="11" t="str">
        <x:v>Frailes</x:v>
      </x:c>
      <x:c r="C21" s="11" t="str">
        <x:v>FIN_FRAILES</x:v>
      </x:c>
      <x:c r="D21" s="11" t="str">
        <x:v>Cama Frailes 3</x:v>
      </x:c>
      <x:c r="E21" s="11" t="str">
        <x:v>UNI_FRA_CAMA_03</x:v>
      </x:c>
      <x:c r="F21" s="11" t="str">
        <x:v>Activa</x:v>
      </x:c>
      <x:c r="G21" s="11" t="str">
        <x:v>Chile dulce</x:v>
      </x:c>
      <x:c r="H21" s="11" t="str">
        <x:v>CUL_CHILE_DULCE</x:v>
      </x:c>
      <x:c r="I21" s="11" t="n">
        <x:v>6</x:v>
      </x:c>
      <x:c r="J21" s="11" t="str">
        <x:v>Crecimiento</x:v>
      </x:c>
      <x:c r="K21" s="14" t="n">
        <x:v>46137</x:v>
      </x:c>
      <x:c r="L21" s="14"/>
      <x:c r="M21" s="14" t="n">
        <x:v>46137</x:v>
      </x:c>
      <x:c r="N21" s="14" t="n">
        <x:v>46212</x:v>
      </x:c>
      <x:c r="O21" s="14" t="n">
        <x:v>46237</x:v>
      </x:c>
      <x:c r="P21" s="11" t="str"/>
      <x:c r="Q21" s="11" t="str">
        <x:v>2026-07</x:v>
      </x:c>
      <x:c r="R21" s="11" t="str">
        <x:v>Ver EventosAgricolas</x:v>
      </x:c>
    </x:row>
    <x:row r="22">
      <x:c r="A22" s="11" t="str">
        <x:v>SIE_FRA_013</x:v>
      </x:c>
      <x:c r="B22" s="11" t="str">
        <x:v>Frailes</x:v>
      </x:c>
      <x:c r="C22" s="11" t="str">
        <x:v>FIN_FRAILES</x:v>
      </x:c>
      <x:c r="D22" s="11" t="str">
        <x:v>Cama Frailes 5</x:v>
      </x:c>
      <x:c r="E22" s="11" t="str">
        <x:v>UNI_FRA_CAMA_05</x:v>
      </x:c>
      <x:c r="F22" s="11" t="str">
        <x:v>Activa</x:v>
      </x:c>
      <x:c r="G22" s="11" t="str">
        <x:v>Cebolla morada</x:v>
      </x:c>
      <x:c r="H22" s="11" t="str">
        <x:v>CUL_CEBOLLA_MORADA</x:v>
      </x:c>
      <x:c r="I22" s="11" t="n">
        <x:v>50</x:v>
      </x:c>
      <x:c r="J22" s="11" t="str">
        <x:v>Crecimiento</x:v>
      </x:c>
      <x:c r="K22" s="14" t="n">
        <x:v>46172</x:v>
      </x:c>
      <x:c r="L22" s="14" t="n">
        <x:v>46172</x:v>
      </x:c>
      <x:c r="M22" s="14" t="n">
        <x:v>46172</x:v>
      </x:c>
      <x:c r="N22" s="14" t="n">
        <x:v>46262</x:v>
      </x:c>
      <x:c r="O22" s="14" t="n">
        <x:v>46292</x:v>
      </x:c>
      <x:c r="P22" s="11" t="str"/>
      <x:c r="Q22" s="11" t="str">
        <x:v>2026-08</x:v>
      </x:c>
      <x:c r="R22" s="11" t="str">
        <x:v>Ver EventosAgricolas</x:v>
      </x:c>
    </x:row>
    <x:row r="23">
      <x:c r="A23" s="11" t="str">
        <x:v>SIE_FRA_014</x:v>
      </x:c>
      <x:c r="B23" s="11" t="str">
        <x:v>Frailes</x:v>
      </x:c>
      <x:c r="C23" s="11" t="str">
        <x:v>FIN_FRAILES</x:v>
      </x:c>
      <x:c r="D23" s="11" t="str">
        <x:v>Cama Frailes 5</x:v>
      </x:c>
      <x:c r="E23" s="11" t="str">
        <x:v>UNI_FRA_CAMA_05</x:v>
      </x:c>
      <x:c r="F23" s="11" t="str">
        <x:v>Activa</x:v>
      </x:c>
      <x:c r="G23" s="11" t="str">
        <x:v>Arúgula</x:v>
      </x:c>
      <x:c r="H23" s="11" t="str">
        <x:v>CUL_ARUGULA</x:v>
      </x:c>
      <x:c r="I23" s="11" t="n">
        <x:v>6</x:v>
      </x:c>
      <x:c r="J23" s="11" t="str">
        <x:v>Crecimiento</x:v>
      </x:c>
      <x:c r="K23" s="14" t="n">
        <x:v>46172</x:v>
      </x:c>
      <x:c r="L23" s="14"/>
      <x:c r="M23" s="14" t="n">
        <x:v>46172</x:v>
      </x:c>
      <x:c r="N23" s="14" t="n">
        <x:v>46197</x:v>
      </x:c>
      <x:c r="O23" s="14" t="n">
        <x:v>46212</x:v>
      </x:c>
      <x:c r="P23" s="11" t="str"/>
      <x:c r="Q23" s="11" t="str">
        <x:v>2026-06</x:v>
      </x:c>
      <x:c r="R23" s="11" t="str">
        <x:v>Ver EventosAgricolas</x:v>
      </x:c>
    </x:row>
    <x:row r="24">
      <x:c r="A24" s="11" t="str">
        <x:v>SIE_FRA_015</x:v>
      </x:c>
      <x:c r="B24" s="11" t="str">
        <x:v>Frailes</x:v>
      </x:c>
      <x:c r="C24" s="11" t="str">
        <x:v>FIN_FRAILES</x:v>
      </x:c>
      <x:c r="D24" s="11" t="str">
        <x:v>Cama Frailes 5</x:v>
      </x:c>
      <x:c r="E24" s="11" t="str">
        <x:v>UNI_FRA_CAMA_05</x:v>
      </x:c>
      <x:c r="F24" s="11" t="str">
        <x:v>Activa</x:v>
      </x:c>
      <x:c r="G24" s="11" t="str">
        <x:v>Disponible</x:v>
      </x:c>
      <x:c r="H24" s="11" t="str">
        <x:v>CUL_DISPONIBLE</x:v>
      </x:c>
      <x:c r="I24" s="11" t="n">
        <x:v>1</x:v>
      </x:c>
      <x:c r="J24" s="11" t="str">
        <x:v>Disponible</x:v>
      </x:c>
      <x:c r="K24" s="14"/>
      <x:c r="L24" s="14"/>
      <x:c r="M24" s="14"/>
      <x:c r="N24" s="14"/>
      <x:c r="O24" s="14"/>
      <x:c r="P24" s="11" t="str"/>
      <x:c r="Q24" s="11" t="str">
        <x:v>Sin fecha</x:v>
      </x:c>
      <x:c r="R24" s="11" t="str">
        <x:v>Ver EventosAgricolas</x:v>
      </x:c>
    </x:row>
    <x:row r="25">
      <x:c r="A25" s="11" t="str">
        <x:v>SIE_FRA_016</x:v>
      </x:c>
      <x:c r="B25" s="11" t="str">
        <x:v>Frailes</x:v>
      </x:c>
      <x:c r="C25" s="11" t="str">
        <x:v>FIN_FRAILES</x:v>
      </x:c>
      <x:c r="D25" s="11" t="str">
        <x:v>Cama Frailes 6</x:v>
      </x:c>
      <x:c r="E25" s="11" t="str">
        <x:v>UNI_FRA_CAMA_06</x:v>
      </x:c>
      <x:c r="F25" s="11" t="str">
        <x:v>Activa</x:v>
      </x:c>
      <x:c r="G25" s="11" t="str">
        <x:v>Zucchini</x:v>
      </x:c>
      <x:c r="H25" s="11" t="str">
        <x:v>CUL_ZUCCHINI</x:v>
      </x:c>
      <x:c r="I25" s="11" t="n">
        <x:v>8</x:v>
      </x:c>
      <x:c r="J25" s="11" t="str">
        <x:v>Crecimiento</x:v>
      </x:c>
      <x:c r="K25" s="14" t="n">
        <x:v>46137</x:v>
      </x:c>
      <x:c r="L25" s="14"/>
      <x:c r="M25" s="14" t="n">
        <x:v>46137</x:v>
      </x:c>
      <x:c r="N25" s="14" t="n">
        <x:v>46182</x:v>
      </x:c>
      <x:c r="O25" s="14" t="n">
        <x:v>46202</x:v>
      </x:c>
      <x:c r="P25" s="11" t="str"/>
      <x:c r="Q25" s="11" t="str">
        <x:v>2026-06</x:v>
      </x:c>
      <x:c r="R25" s="11" t="str">
        <x:v>Ver EventosAgricolas</x:v>
      </x:c>
    </x:row>
    <x:row r="26">
      <x:c r="A26" s="11" t="str">
        <x:v>SIE_FRA_017</x:v>
      </x:c>
      <x:c r="B26" s="11" t="str">
        <x:v>Frailes</x:v>
      </x:c>
      <x:c r="C26" s="11" t="str">
        <x:v>FIN_FRAILES</x:v>
      </x:c>
      <x:c r="D26" s="11" t="str">
        <x:v>Cama Frailes 7</x:v>
      </x:c>
      <x:c r="E26" s="11" t="str">
        <x:v>UNI_FRA_CAMA_07</x:v>
      </x:c>
      <x:c r="F26" s="11" t="str">
        <x:v>Activa</x:v>
      </x:c>
      <x:c r="G26" s="11" t="str">
        <x:v>Zanahoria</x:v>
      </x:c>
      <x:c r="H26" s="11" t="str">
        <x:v>CUL_ZANAHORIA</x:v>
      </x:c>
      <x:c r="I26" s="11" t="n">
        <x:v>35</x:v>
      </x:c>
      <x:c r="J26" s="11" t="str">
        <x:v>Crecimiento</x:v>
      </x:c>
      <x:c r="K26" s="14" t="n">
        <x:v>46152</x:v>
      </x:c>
      <x:c r="L26" s="14"/>
      <x:c r="M26" s="14" t="n">
        <x:v>46152</x:v>
      </x:c>
      <x:c r="N26" s="14" t="n">
        <x:v>46232</x:v>
      </x:c>
      <x:c r="O26" s="14" t="n">
        <x:v>46262</x:v>
      </x:c>
      <x:c r="P26" s="11" t="str"/>
      <x:c r="Q26" s="11" t="str">
        <x:v>2026-07</x:v>
      </x:c>
      <x:c r="R26" s="11" t="str">
        <x:v>Ver EventosAgricolas</x:v>
      </x:c>
    </x:row>
    <x:row r="27">
      <x:c r="A27" t="str">
        <x:v>SIE_FRA_018</x:v>
      </x:c>
      <x:c r="B27" t="str">
        <x:v>Frailes</x:v>
      </x:c>
      <x:c r="C27" t="str">
        <x:v>FIN_FRAILES</x:v>
      </x:c>
      <x:c r="D27" t="str">
        <x:v>Cama Frailes 4</x:v>
      </x:c>
      <x:c r="E27" t="str">
        <x:v>UNI_FRA_CAMA_04</x:v>
      </x:c>
      <x:c r="F27" t="str">
        <x:v>Activa</x:v>
      </x:c>
      <x:c r="G27" t="str">
        <x:v>Disponible</x:v>
      </x:c>
      <x:c r="H27" t="str">
        <x:v>CUL_DISPONIBLE</x:v>
      </x:c>
      <x:c r="I27" t="n">
        <x:v>1</x:v>
      </x:c>
      <x:c r="J27" t="str">
        <x:v>Disponible</x:v>
      </x:c>
      <x:c r="K27" s="18"/>
      <x:c r="L27" s="18"/>
      <x:c r="M27" s="18"/>
      <x:c r="N27" s="18"/>
      <x:c r="O27" s="18"/>
      <x:c r="P27"/>
      <x:c r="Q27" t="str">
        <x:v>Sin fecha</x:v>
      </x:c>
      <x:c r="R27" s="11" t="str">
        <x:v>Ver EventosAgricolas</x:v>
      </x:c>
    </x:row>
    <x:row r="28">
      <x:c r="K28" s="18"/>
      <x:c r="L28" s="18"/>
      <x:c r="M28" s="18"/>
      <x:c r="N28" s="18"/>
      <x:c r="O28" s="18"/>
    </x:row>
    <x:row r="29">
      <x:c r="K29" s="18"/>
      <x:c r="L29" s="18"/>
      <x:c r="M29" s="18"/>
      <x:c r="N29" s="18"/>
      <x:c r="O29" s="18"/>
    </x:row>
    <x:row r="30">
      <x:c r="K30" s="18"/>
      <x:c r="L30" s="18"/>
      <x:c r="M30" s="18"/>
      <x:c r="N30" s="18"/>
      <x:c r="O30" s="18"/>
    </x:row>
    <x:row r="31">
      <x:c r="K31" s="18"/>
      <x:c r="L31" s="18"/>
      <x:c r="M31" s="18"/>
      <x:c r="N31" s="18"/>
      <x:c r="O31" s="18"/>
    </x:row>
    <x:row r="32">
      <x:c r="K32" s="18"/>
      <x:c r="L32" s="18"/>
      <x:c r="M32" s="18"/>
      <x:c r="N32" s="18"/>
      <x:c r="O32" s="18"/>
    </x:row>
    <x:row r="33">
      <x:c r="K33" s="18"/>
      <x:c r="L33" s="18"/>
      <x:c r="M33" s="18"/>
      <x:c r="N33" s="18"/>
      <x:c r="O33" s="18"/>
    </x:row>
    <x:row r="34">
      <x:c r="K34" s="18"/>
      <x:c r="L34" s="18"/>
      <x:c r="M34" s="18"/>
      <x:c r="N34" s="18"/>
      <x:c r="O34" s="18"/>
    </x:row>
    <x:row r="35">
      <x:c r="K35" s="18"/>
      <x:c r="L35" s="18"/>
      <x:c r="M35" s="18"/>
      <x:c r="N35" s="18"/>
      <x:c r="O35" s="18"/>
    </x:row>
    <x:row r="36">
      <x:c r="K36" s="18"/>
      <x:c r="L36" s="18"/>
      <x:c r="M36" s="18"/>
      <x:c r="N36" s="18"/>
      <x:c r="O36" s="18"/>
    </x:row>
    <x:row r="37">
      <x:c r="K37" s="18"/>
      <x:c r="L37" s="18"/>
      <x:c r="M37" s="18"/>
      <x:c r="N37" s="18"/>
      <x:c r="O37" s="18"/>
    </x:row>
    <x:row r="38">
      <x:c r="K38" s="18"/>
      <x:c r="L38" s="18"/>
      <x:c r="M38" s="18"/>
      <x:c r="N38" s="18"/>
      <x:c r="O38" s="18"/>
    </x:row>
    <x:row r="39">
      <x:c r="K39" s="18"/>
      <x:c r="L39" s="18"/>
      <x:c r="M39" s="18"/>
      <x:c r="N39" s="18"/>
      <x:c r="O39" s="18"/>
    </x:row>
    <x:row r="40">
      <x:c r="K40" s="18"/>
      <x:c r="L40" s="18"/>
      <x:c r="M40" s="18"/>
      <x:c r="N40" s="18"/>
      <x:c r="O40" s="18"/>
    </x:row>
    <x:row r="41">
      <x:c r="K41" s="18"/>
      <x:c r="L41" s="18"/>
      <x:c r="M41" s="18"/>
      <x:c r="N41" s="18"/>
      <x:c r="O41" s="18"/>
    </x:row>
    <x:row r="42">
      <x:c r="K42" s="18"/>
      <x:c r="L42" s="18"/>
      <x:c r="M42" s="18"/>
      <x:c r="N42" s="18"/>
      <x:c r="O42" s="18"/>
    </x:row>
    <x:row r="43">
      <x:c r="K43" s="18"/>
      <x:c r="L43" s="18"/>
      <x:c r="M43" s="18"/>
      <x:c r="N43" s="18"/>
      <x:c r="O43" s="18"/>
    </x:row>
    <x:row r="44">
      <x:c r="K44" s="18"/>
      <x:c r="L44" s="18"/>
      <x:c r="M44" s="18"/>
      <x:c r="N44" s="18"/>
      <x:c r="O44" s="18"/>
    </x:row>
    <x:row r="45">
      <x:c r="K45" s="18"/>
      <x:c r="L45" s="18"/>
      <x:c r="M45" s="18"/>
      <x:c r="N45" s="18"/>
      <x:c r="O45" s="18"/>
    </x:row>
    <x:row r="46">
      <x:c r="K46" s="18"/>
      <x:c r="L46" s="18"/>
      <x:c r="M46" s="18"/>
      <x:c r="N46" s="18"/>
      <x:c r="O46" s="18"/>
    </x:row>
    <x:row r="47">
      <x:c r="K47" s="18"/>
      <x:c r="L47" s="18"/>
      <x:c r="M47" s="18"/>
      <x:c r="N47" s="18"/>
      <x:c r="O47" s="18"/>
    </x:row>
    <x:row r="48">
      <x:c r="K48" s="18"/>
      <x:c r="L48" s="18"/>
      <x:c r="M48" s="18"/>
      <x:c r="N48" s="18"/>
      <x:c r="O48" s="18"/>
    </x:row>
    <x:row r="49">
      <x:c r="K49" s="18"/>
      <x:c r="L49" s="18"/>
      <x:c r="M49" s="18"/>
      <x:c r="N49" s="18"/>
      <x:c r="O49" s="18"/>
    </x:row>
    <x:row r="50">
      <x:c r="K50" s="18"/>
      <x:c r="L50" s="18"/>
      <x:c r="M50" s="18"/>
      <x:c r="N50" s="18"/>
      <x:c r="O50" s="18"/>
    </x:row>
    <x:row r="51">
      <x:c r="K51" s="18"/>
      <x:c r="L51" s="18"/>
      <x:c r="M51" s="18"/>
      <x:c r="N51" s="18"/>
      <x:c r="O51" s="18"/>
    </x:row>
    <x:row r="52">
      <x:c r="K52" s="18"/>
      <x:c r="L52" s="18"/>
      <x:c r="M52" s="18"/>
      <x:c r="N52" s="18"/>
      <x:c r="O52" s="18"/>
    </x:row>
    <x:row r="53">
      <x:c r="K53" s="18"/>
      <x:c r="L53" s="18"/>
      <x:c r="M53" s="18"/>
      <x:c r="N53" s="18"/>
      <x:c r="O53" s="18"/>
    </x:row>
    <x:row r="54">
      <x:c r="K54" s="18"/>
      <x:c r="L54" s="18"/>
      <x:c r="M54" s="18"/>
      <x:c r="N54" s="18"/>
      <x:c r="O54" s="18"/>
    </x:row>
    <x:row r="55">
      <x:c r="K55" s="18"/>
      <x:c r="L55" s="18"/>
      <x:c r="M55" s="18"/>
      <x:c r="N55" s="18"/>
      <x:c r="O55" s="18"/>
    </x:row>
    <x:row r="56">
      <x:c r="K56" s="18"/>
      <x:c r="L56" s="18"/>
      <x:c r="M56" s="18"/>
      <x:c r="N56" s="18"/>
      <x:c r="O56" s="18"/>
    </x:row>
    <x:row r="57">
      <x:c r="K57" s="18"/>
      <x:c r="L57" s="18"/>
      <x:c r="M57" s="18"/>
      <x:c r="N57" s="18"/>
      <x:c r="O57" s="18"/>
    </x:row>
    <x:row r="58">
      <x:c r="K58" s="18"/>
      <x:c r="L58" s="18"/>
      <x:c r="M58" s="18"/>
      <x:c r="N58" s="18"/>
      <x:c r="O58" s="18"/>
    </x:row>
    <x:row r="59">
      <x:c r="K59" s="18"/>
      <x:c r="L59" s="18"/>
      <x:c r="M59" s="18"/>
      <x:c r="N59" s="18"/>
      <x:c r="O59" s="18"/>
    </x:row>
    <x:row r="60">
      <x:c r="K60" s="18"/>
      <x:c r="L60" s="18"/>
      <x:c r="M60" s="18"/>
      <x:c r="N60" s="18"/>
      <x:c r="O60" s="18"/>
    </x:row>
  </x:sheetData>
  <x:pageMargins left="0.7" right="0.7" top="0.75" bottom="0.75" header="0.3" footer="0.3"/>
  <x:tableParts count="1">
    <x:tablePart xmlns:r="http://schemas.openxmlformats.org/officeDocument/2006/relationships" r:id="R6d02400a87c9411a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" hidden="0" customWidth="1"/>
  </x:cols>
  <x:sheetData>
    <x:row r="1">
      <x:c r="A1" s="10" t="str">
        <x:v>Lista</x:v>
      </x:c>
      <x:c r="B1" s="10" t="str">
        <x:v>Valor</x:v>
      </x:c>
    </x:row>
    <x:row r="2">
      <x:c r="A2" s="11" t="str">
        <x:v>Estados_Unidad</x:v>
      </x:c>
      <x:c r="B2" s="11" t="str">
        <x:v>Activa</x:v>
      </x:c>
    </x:row>
    <x:row r="3">
      <x:c r="A3" s="11" t="str">
        <x:v>Estados_Unidad</x:v>
      </x:c>
      <x:c r="B3" s="11" t="str">
        <x:v>No activa</x:v>
      </x:c>
    </x:row>
    <x:row r="4">
      <x:c r="A4" s="11" t="str">
        <x:v>Estados_Cultivo</x:v>
      </x:c>
      <x:c r="B4" s="11" t="str">
        <x:v>Crecimiento</x:v>
      </x:c>
    </x:row>
    <x:row r="5">
      <x:c r="A5" s="11" t="str">
        <x:v>Estados_Cultivo</x:v>
      </x:c>
      <x:c r="B5" s="11" t="str">
        <x:v>Floración</x:v>
      </x:c>
    </x:row>
    <x:row r="6">
      <x:c r="A6" s="11" t="str">
        <x:v>Estados_Cultivo</x:v>
      </x:c>
      <x:c r="B6" s="11" t="str">
        <x:v>Disponible</x:v>
      </x:c>
    </x:row>
    <x:row r="7">
      <x:c r="A7" s="11" t="str">
        <x:v>Estados_Cultivo</x:v>
      </x:c>
      <x:c r="B7" s="11" t="str">
        <x:v>Cosechado</x:v>
      </x:c>
    </x:row>
    <x:row r="8">
      <x:c r="A8" s="11" t="str">
        <x:v>Estados_Cultivo</x:v>
      </x:c>
      <x:c r="B8" s="11" t="str">
        <x:v>Sin fecha</x:v>
      </x:c>
    </x:row>
  </x:sheetData>
  <x:pageMargins left="0.7" right="0.7" top="0.75" bottom="0.75" header="0.3" footer="0.3"/>
  <x:tableParts count="1">
    <x:tablePart xmlns:r="http://schemas.openxmlformats.org/officeDocument/2006/relationships" r:id="R363939c73777450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7.899999618530273" hidden="0" customWidth="1"/>
    <x:col min="2" max="2" width="16.959999084472656" hidden="0" customWidth="1"/>
    <x:col min="3" max="3" width="16.020000457763672" hidden="0" customWidth="1"/>
    <x:col min="4" max="4" width="8.609999656677246" hidden="0" customWidth="1"/>
    <x:col min="5" max="5" width="43.34000015258789" hidden="0" customWidth="1"/>
    <x:col min="6" max="6" width="51.68000030517578" hidden="0" customWidth="1"/>
    <x:col min="7" max="7" width="15.75" hidden="0" customWidth="1"/>
  </x:cols>
  <x:sheetData>
    <x:row r="1">
      <x:c r="A1" s="24" t="str">
        <x:v>ID_Insumo</x:v>
      </x:c>
      <x:c r="B1" s="24" t="str">
        <x:v>Nombre</x:v>
      </x:c>
      <x:c r="C1" s="24" t="str">
        <x:v>Tipo</x:v>
      </x:c>
      <x:c r="D1" s="24" t="str">
        <x:v>Disponible</x:v>
      </x:c>
      <x:c r="E1" s="24" t="str">
        <x:v>Uso_Principal</x:v>
      </x:c>
      <x:c r="F1" s="24" t="str">
        <x:v>Restricciones/Notas</x:v>
      </x:c>
      <x:c r="G1" s="24" t="str">
        <x:v>Compra_Requerida</x:v>
      </x:c>
      <x:c r="H1" t="str">
        <x:v>Cantidad_Guia</x:v>
      </x:c>
      <x:c r="I1" t="str">
        <x:v>Momento_Aplicacion</x:v>
      </x:c>
      <x:c r="J1" t="str">
        <x:v>Frecuencia_Dias</x:v>
      </x:c>
    </x:row>
    <x:row r="2">
      <x:c r="A2" s="11" t="str">
        <x:v>INS_COBRE</x:v>
      </x:c>
      <x:c r="B2" s="11" t="str">
        <x:v>Cobre</x:v>
      </x:c>
      <x:c r="C2" s="11" t="str">
        <x:v>Control fitosanitario</x:v>
      </x:c>
      <x:c r="D2" s="11" t="str">
        <x:v>Sí</x:v>
      </x:c>
      <x:c r="E2" s="11" t="str">
        <x:v>Hongos y bacterias en manejo preventivo/correctivo</x:v>
      </x:c>
      <x:c r="F2" s="11" t="str">
        <x:v>Evitar mezclar sin validar compatibilidad; aplicar temprano/tarde</x:v>
      </x:c>
      <x:c r="G2" s="11" t="str">
        <x:v>No</x:v>
      </x:c>
      <x:c r="H2" t="str">
        <x:v>Según etiqueta</x:v>
      </x:c>
      <x:c r="I2" t="str">
        <x:v>Preventivo / presión de hongos</x:v>
      </x:c>
      <x:c r="J2" t="n">
        <x:v>21</x:v>
      </x:c>
    </x:row>
    <x:row r="3">
      <x:c r="A3" s="11" t="str">
        <x:v>INS_NEEM</x:v>
      </x:c>
      <x:c r="B3" s="11" t="str">
        <x:v>Neem</x:v>
      </x:c>
      <x:c r="C3" s="11" t="str">
        <x:v>Control fitosanitario</x:v>
      </x:c>
      <x:c r="D3" s="11" t="str">
        <x:v>Sí</x:v>
      </x:c>
      <x:c r="E3" s="11" t="str">
        <x:v>Control preventivo de insectos blandos</x:v>
      </x:c>
      <x:c r="F3" s="11" t="str">
        <x:v>Evitar sol fuerte; repetir según presión de plaga</x:v>
      </x:c>
      <x:c r="G3" s="11" t="str">
        <x:v>No</x:v>
      </x:c>
      <x:c r="H3" t="str">
        <x:v>Según etiqueta</x:v>
      </x:c>
      <x:c r="I3" t="str">
        <x:v>Preventivo / presión de insectos</x:v>
      </x:c>
      <x:c r="J3" t="n">
        <x:v>15</x:v>
      </x:c>
    </x:row>
    <x:row r="4">
      <x:c r="A4" s="11" t="str">
        <x:v>INS_JABON_POTASICO</x:v>
      </x:c>
      <x:c r="B4" s="11" t="str">
        <x:v>Jabón Potásico</x:v>
      </x:c>
      <x:c r="C4" s="11" t="str">
        <x:v>Control fitosanitario</x:v>
      </x:c>
      <x:c r="D4" s="11" t="str">
        <x:v>Sí</x:v>
      </x:c>
      <x:c r="E4" s="11" t="str">
        <x:v>Control de insectos blandos y limpieza foliar</x:v>
      </x:c>
      <x:c r="F4" s="11" t="str">
        <x:v>Probar en pocas hojas antes de aplicar general</x:v>
      </x:c>
      <x:c r="G4" s="11" t="str">
        <x:v>No</x:v>
      </x:c>
      <x:c r="H4" t="str">
        <x:v>Según etiqueta</x:v>
      </x:c>
      <x:c r="I4" t="str">
        <x:v>Presencia de insectos blandos</x:v>
      </x:c>
      <x:c r="J4" t="n">
        <x:v>10</x:v>
      </x:c>
    </x:row>
    <x:row r="5">
      <x:c r="A5" s="11" t="str">
        <x:v>INS_MISTRAL</x:v>
      </x:c>
      <x:c r="B5" s="11" t="str">
        <x:v>Mistral</x:v>
      </x:c>
      <x:c r="C5" s="11" t="str">
        <x:v>Control fitosanitario</x:v>
      </x:c>
      <x:c r="D5" s="11" t="str">
        <x:v>Sí</x:v>
      </x:c>
      <x:c r="E5" s="11" t="str">
        <x:v>Control fitosanitario según etiqueta</x:v>
      </x:c>
      <x:c r="F5" s="11" t="str">
        <x:v>Usar dosis de etiqueta; no aplicar en horas de calor</x:v>
      </x:c>
      <x:c r="G5" s="11" t="str">
        <x:v>No</x:v>
      </x:c>
      <x:c r="H5" t="str">
        <x:v>Según etiqueta</x:v>
      </x:c>
      <x:c r="I5" t="str">
        <x:v>Preventivo / control activo</x:v>
      </x:c>
      <x:c r="J5" t="n">
        <x:v>30</x:v>
      </x:c>
    </x:row>
    <x:row r="6">
      <x:c r="A6" s="11" t="str">
        <x:v>INS_BICARBONATO</x:v>
      </x:c>
      <x:c r="B6" s="11" t="str">
        <x:v>Bicarbonato de Sodio</x:v>
      </x:c>
      <x:c r="C6" s="11" t="str">
        <x:v>Control fitosanitario</x:v>
      </x:c>
      <x:c r="D6" s="11" t="str">
        <x:v>Sí</x:v>
      </x:c>
      <x:c r="E6" s="11" t="str">
        <x:v>Apoyo preventivo contra hongos superficiales</x:v>
      </x:c>
      <x:c r="F6" s="11" t="str">
        <x:v>No abusar; puede quemar hojas si se concentra</x:v>
      </x:c>
      <x:c r="G6" s="11" t="str">
        <x:v>No</x:v>
      </x:c>
      <x:c r="H6" t="str">
        <x:v>Baja dosis</x:v>
      </x:c>
      <x:c r="I6" t="str">
        <x:v>Preventivo hongos superficiales</x:v>
      </x:c>
      <x:c r="J6" t="n">
        <x:v>10</x:v>
      </x:c>
    </x:row>
    <x:row r="7">
      <x:c r="A7" s="11" t="str">
        <x:v>INS_CAL_DOLOMITA</x:v>
      </x:c>
      <x:c r="B7" s="11" t="str">
        <x:v>Cal Dolomita</x:v>
      </x:c>
      <x:c r="C7" s="11" t="str">
        <x:v>Abono tierra</x:v>
      </x:c>
      <x:c r="D7" s="11" t="str">
        <x:v>Sí</x:v>
      </x:c>
      <x:c r="E7" s="11" t="str">
        <x:v>Corrección de suelo y aporte de calcio/magnesio</x:v>
      </x:c>
      <x:c r="F7" s="11" t="str">
        <x:v>No aplicar pegado al tronco; incorporar superficialmente</x:v>
      </x:c>
      <x:c r="G7" s="11" t="str">
        <x:v>No</x:v>
      </x:c>
      <x:c r="H7" t="str">
        <x:v>Según tamaño de árbol</x:v>
      </x:c>
      <x:c r="I7" t="str">
        <x:v>Postcosecha / preparación de suelo</x:v>
      </x:c>
      <x:c r="J7" t="n">
        <x:v>180</x:v>
      </x:c>
    </x:row>
    <x:row r="8">
      <x:c r="A8" s="11" t="str">
        <x:v>INS_CENIZA</x:v>
      </x:c>
      <x:c r="B8" s="11" t="str">
        <x:v>Ceniza</x:v>
      </x:c>
      <x:c r="C8" s="11" t="str">
        <x:v>Abono tierra</x:v>
      </x:c>
      <x:c r="D8" s="11" t="str">
        <x:v>Sí</x:v>
      </x:c>
      <x:c r="E8" s="11" t="str">
        <x:v>Aporte de potasio y minerales; enmienda suave</x:v>
      </x:c>
      <x:c r="F8" s="11" t="str">
        <x:v>Usar moderado; puede subir pH</x:v>
      </x:c>
      <x:c r="G8" s="11" t="str">
        <x:v>No</x:v>
      </x:c>
      <x:c r="H8" t="str">
        <x:v>Puñado controlado</x:v>
      </x:c>
      <x:c r="I8" t="str">
        <x:v>Postcosecha / desarrollo vegetativo</x:v>
      </x:c>
      <x:c r="J8" t="n">
        <x:v>60</x:v>
      </x:c>
    </x:row>
    <x:row r="9">
      <x:c r="A9" s="11" t="str">
        <x:v>INS_MELASA</x:v>
      </x:c>
      <x:c r="B9" s="11" t="str">
        <x:v>Melasa</x:v>
      </x:c>
      <x:c r="C9" s="11" t="str">
        <x:v>Abono tierra</x:v>
      </x:c>
      <x:c r="D9" s="11" t="str">
        <x:v>Sí</x:v>
      </x:c>
      <x:c r="E9" s="11" t="str">
        <x:v>Activación biológica en mezclas y compost</x:v>
      </x:c>
      <x:c r="F9" s="11" t="str">
        <x:v>Usar dosis baja; evitar exceso de azúcar</x:v>
      </x:c>
      <x:c r="G9" s="11" t="str">
        <x:v>No</x:v>
      </x:c>
      <x:c r="H9" t="str">
        <x:v>Baja dosis</x:v>
      </x:c>
      <x:c r="I9" t="str">
        <x:v>Activación biológica / compost</x:v>
      </x:c>
      <x:c r="J9" t="n">
        <x:v>30</x:v>
      </x:c>
    </x:row>
    <x:row r="10">
      <x:c r="A10" s="11" t="str">
        <x:v>INS_COMPOST</x:v>
      </x:c>
      <x:c r="B10" s="11" t="str">
        <x:v>Compost</x:v>
      </x:c>
      <x:c r="C10" s="11" t="str">
        <x:v>Abono tierra</x:v>
      </x:c>
      <x:c r="D10" s="11" t="str">
        <x:v>Sí</x:v>
      </x:c>
      <x:c r="E10" s="11" t="str">
        <x:v>Materia orgánica y mejora del suelo</x:v>
      </x:c>
      <x:c r="F10" s="11" t="str">
        <x:v>Aplicar maduro; evitar contacto directo con cuello</x:v>
      </x:c>
      <x:c r="G10" s="11" t="str">
        <x:v>No</x:v>
      </x:c>
      <x:c r="H10" t="str">
        <x:v>Capa superficial</x:v>
      </x:c>
      <x:c r="I10" t="str">
        <x:v>Postcosecha / establecimiento</x:v>
      </x:c>
      <x:c r="J10" t="n">
        <x:v>90</x:v>
      </x:c>
    </x:row>
    <x:row r="11">
      <x:c r="A11" s="11" t="str">
        <x:v>INS_HENO</x:v>
      </x:c>
      <x:c r="B11" s="11" t="str">
        <x:v>Heno</x:v>
      </x:c>
      <x:c r="C11" s="11" t="str">
        <x:v>Abono tierra</x:v>
      </x:c>
      <x:c r="D11" s="11" t="str">
        <x:v>Sí</x:v>
      </x:c>
      <x:c r="E11" s="11" t="str">
        <x:v>Cobertura/mulch para humedad y protección de suelo</x:v>
      </x:c>
      <x:c r="F11" s="11" t="str">
        <x:v>Mantener separado del tronco para evitar hongos</x:v>
      </x:c>
      <x:c r="G11" s="11" t="str">
        <x:v>No</x:v>
      </x:c>
      <x:c r="H11" t="str">
        <x:v>Cobertura sin tocar tronco</x:v>
      </x:c>
      <x:c r="I11" t="str">
        <x:v>Época seca / protección de suelo</x:v>
      </x:c>
      <x:c r="J11" t="n">
        <x:v>60</x:v>
      </x:c>
    </x:row>
    <x:row r="12">
      <x:c r="A12" s="11" t="str">
        <x:v>INS_GALLINAZA</x:v>
      </x:c>
      <x:c r="B12" s="11" t="str">
        <x:v>Gallinaza</x:v>
      </x:c>
      <x:c r="C12" s="11" t="str">
        <x:v>Abono tierra</x:v>
      </x:c>
      <x:c r="D12" s="11" t="str">
        <x:v>No</x:v>
      </x:c>
      <x:c r="E12" s="11" t="str">
        <x:v>Abono orgánico alto en nitrógeno</x:v>
      </x:c>
      <x:c r="F12" s="11" t="str">
        <x:v>Debe estar compostada; riesgo de quemar raíces</x:v>
      </x:c>
      <x:c r="G12" s="11" t="str">
        <x:v>Sí</x:v>
      </x:c>
      <x:c r="H12" t="str">
        <x:v>Solo compostada</x:v>
      </x:c>
      <x:c r="I12" t="str">
        <x:v>Vegetativo / recuperación</x:v>
      </x:c>
      <x:c r="J12" t="n">
        <x:v>90</x:v>
      </x:c>
    </x:row>
    <x:row r="13">
      <x:c r="A13" s="11" t="str">
        <x:v>INS_YARAMILA</x:v>
      </x:c>
      <x:c r="B13" s="11" t="str">
        <x:v>YaraMila</x:v>
      </x:c>
      <x:c r="C13" s="11" t="str">
        <x:v>Abono tierra</x:v>
      </x:c>
      <x:c r="D13" s="11" t="str">
        <x:v>Sí</x:v>
      </x:c>
      <x:c r="E13" s="11" t="str">
        <x:v>Fertilización granulada de suelo</x:v>
      </x:c>
      <x:c r="F13" s="11" t="str">
        <x:v>Usar dosis controlada; evitar excesos de nitrógeno</x:v>
      </x:c>
      <x:c r="G13" s="11" t="str">
        <x:v>No</x:v>
      </x:c>
      <x:c r="H13" t="str">
        <x:v>Según tamaño de árbol</x:v>
      </x:c>
      <x:c r="I13" t="str">
        <x:v>Floración / postcosecha / vegetativo</x:v>
      </x:c>
      <x:c r="J13" t="n">
        <x:v>45</x:v>
      </x:c>
    </x:row>
    <x:row r="14">
      <x:c r="A14" s="11" t="str">
        <x:v>INS_CALCIO_BORO</x:v>
      </x:c>
      <x:c r="B14" s="11" t="str">
        <x:v>Calcio Boro</x:v>
      </x:c>
      <x:c r="C14" s="11" t="str">
        <x:v>Abono foliar</x:v>
      </x:c>
      <x:c r="D14" s="11" t="str">
        <x:v>Sí</x:v>
      </x:c>
      <x:c r="E14" s="11" t="str">
        <x:v>Floración, cuajado y llenado temprano</x:v>
      </x:c>
      <x:c r="F14" s="11" t="str">
        <x:v>Aplicar temprano/tarde; no mezclar sin validar</x:v>
      </x:c>
      <x:c r="G14" s="11" t="str">
        <x:v>No</x:v>
      </x:c>
      <x:c r="H14" t="str">
        <x:v>Según etiqueta</x:v>
      </x:c>
      <x:c r="I14" t="str">
        <x:v>Floración / cuajado / llenado temprano</x:v>
      </x:c>
      <x:c r="J14" t="n">
        <x:v>15</x:v>
      </x:c>
    </x:row>
    <x:row r="15">
      <x:c r="A15" s="11" t="str">
        <x:v>INS_MULTIMINERAL</x:v>
      </x:c>
      <x:c r="B15" s="11" t="str">
        <x:v>Multimineral</x:v>
      </x:c>
      <x:c r="C15" s="11" t="str">
        <x:v>Abono foliar</x:v>
      </x:c>
      <x:c r="D15" s="11" t="str">
        <x:v>Sí</x:v>
      </x:c>
      <x:c r="E15" s="11" t="str">
        <x:v>Corrección/apoyo nutricional foliar</x:v>
      </x:c>
      <x:c r="F15" s="11" t="str">
        <x:v>Respetar dosis; evitar estrés fuerte</x:v>
      </x:c>
      <x:c r="G15" s="11" t="str">
        <x:v>No</x:v>
      </x:c>
      <x:c r="H15" t="str">
        <x:v>Según etiqueta</x:v>
      </x:c>
      <x:c r="I15" t="str">
        <x:v>Vegetativo / recuperación</x:v>
      </x:c>
      <x:c r="J15" t="n">
        <x:v>21</x:v>
      </x:c>
    </x:row>
    <x:row r="16">
      <x:c r="A16" s="11" t="str">
        <x:v>INS_FOLIAR_7425</x:v>
      </x:c>
      <x:c r="B16" s="11" t="str">
        <x:v>Foliar 7-4-25</x:v>
      </x:c>
      <x:c r="C16" s="11" t="str">
        <x:v>Abono foliar</x:v>
      </x:c>
      <x:c r="D16" s="11" t="str">
        <x:v>Sí</x:v>
      </x:c>
      <x:c r="E16" s="11" t="str">
        <x:v>Apoyo potasio/foliar en desarrollo y llenado</x:v>
      </x:c>
      <x:c r="F16" s="11" t="str">
        <x:v>Usar según etapa; evitar exceso</x:v>
      </x:c>
      <x:c r="G16" s="11" t="str">
        <x:v>No</x:v>
      </x:c>
      <x:c r="H16" t="str">
        <x:v>Según etiqueta</x:v>
      </x:c>
      <x:c r="I16" t="str">
        <x:v>Llenado / desarrollo</x:v>
      </x:c>
      <x:c r="J16" t="n">
        <x:v>21</x:v>
      </x:c>
    </x:row>
    <x:row r="17">
      <x:c r="A17" s="11" t="str">
        <x:v>INS_PAS80</x:v>
      </x:c>
      <x:c r="B17" s="11" t="str">
        <x:v>PAS-80</x:v>
      </x:c>
      <x:c r="C17" s="11" t="str">
        <x:v>Coadyuvante</x:v>
      </x:c>
      <x:c r="D17" s="11" t="str">
        <x:v>Sí</x:v>
      </x:c>
      <x:c r="E17" s="11" t="str">
        <x:v>Mejorar adherencia/cobertura de aplicaciones foliares</x:v>
      </x:c>
      <x:c r="F17" s="11" t="str">
        <x:v>Usar dosis baja según etiqueta</x:v>
      </x:c>
      <x:c r="G17" s="11" t="str">
        <x:v>No</x:v>
      </x:c>
      <x:c r="H17" t="str">
        <x:v>Según etiqueta</x:v>
      </x:c>
      <x:c r="I17" t="str">
        <x:v>Coadyuvante en aplicaciones foliares</x:v>
      </x:c>
      <x:c r="J17" t="n">
        <x:v>0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8.399999618530273" hidden="0" customWidth="1"/>
    <x:col min="2" max="2" width="11.4399995803833" hidden="0" customWidth="1"/>
    <x:col min="3" max="3" width="6.460000038146973" hidden="0" customWidth="1"/>
    <x:col min="4" max="4" width="16.149999618530273" hidden="0" customWidth="1"/>
    <x:col min="5" max="5" width="4.440000057220459" hidden="0" customWidth="1"/>
    <x:col min="6" max="6" width="15.210000038146973" hidden="0" customWidth="1"/>
    <x:col min="7" max="7" width="8.479999542236328" hidden="0" customWidth="1"/>
    <x:col min="8" max="8" width="13.729999542236328" hidden="0" customWidth="1"/>
    <x:col min="9" max="9" width="16.020000457763672" hidden="0" customWidth="1"/>
    <x:col min="10" max="10" width="35.2599983215332" hidden="0" customWidth="1"/>
  </x:cols>
  <x:sheetData>
    <x:row r="1">
      <x:c r="A1" s="24" t="str">
        <x:v>Arbol_ID</x:v>
      </x:c>
      <x:c r="B1" s="24" t="str">
        <x:v>Finca_ID</x:v>
      </x:c>
      <x:c r="C1" s="24" t="str">
        <x:v>Finca</x:v>
      </x:c>
      <x:c r="D1" s="24" t="str">
        <x:v>Arbol</x:v>
      </x:c>
      <x:c r="E1" s="24" t="str">
        <x:v>Icono</x:v>
      </x:c>
      <x:c r="F1" s="24" t="str">
        <x:v>Estado_Fenologico</x:v>
      </x:c>
      <x:c r="G1" s="24" t="str">
        <x:v>Trasplante</x:v>
      </x:c>
      <x:c r="H1" s="24" t="str">
        <x:v>Estado_Sanitario</x:v>
      </x:c>
      <x:c r="I1" s="24" t="str">
        <x:v>Evento_Agricola</x:v>
      </x:c>
      <x:c r="J1" s="24" t="str">
        <x:v>Notas</x:v>
      </x:c>
    </x:row>
    <x:row r="2">
      <x:c r="A2" s="11" t="str">
        <x:v>ARB_MANZANO_MORAVIA</x:v>
      </x:c>
      <x:c r="B2" s="11" t="str">
        <x:v>FIN_MORAVIA</x:v>
      </x:c>
      <x:c r="C2" s="11" t="str">
        <x:v>Moravia</x:v>
      </x:c>
      <x:c r="D2" s="11" t="str">
        <x:v>Manzano tico</x:v>
      </x:c>
      <x:c r="E2" s="11" t="str">
        <x:v>🍎</x:v>
      </x:c>
      <x:c r="F2" s="11" t="str">
        <x:v>Llenado</x:v>
      </x:c>
      <x:c r="G2" s="11" t="str">
        <x:v>N/A</x:v>
      </x:c>
      <x:c r="H2" s="11" t="str">
        <x:v>Bueno</x:v>
      </x:c>
      <x:c r="I2" s="11" t="str">
        <x:v>Control fitosanitario</x:v>
      </x:c>
      <x:c r="J2" s="11" t="str">
        <x:v>Poda y manejo de chupones en seguimiento</x:v>
      </x:c>
    </x:row>
    <x:row r="3">
      <x:c r="A3" s="11" t="str">
        <x:v>ARB_GUAYABITA_MORAVIA</x:v>
      </x:c>
      <x:c r="B3" s="11" t="str">
        <x:v>FIN_MORAVIA</x:v>
      </x:c>
      <x:c r="C3" s="11" t="str">
        <x:v>Moravia</x:v>
      </x:c>
      <x:c r="D3" s="11" t="str">
        <x:v>Guayabita del Perú</x:v>
      </x:c>
      <x:c r="E3" s="11" t="str">
        <x:v>🌳</x:v>
      </x:c>
      <x:c r="F3" s="11" t="str">
        <x:v>Vegetativo</x:v>
      </x:c>
      <x:c r="G3" s="11" t="str">
        <x:v>N/A</x:v>
      </x:c>
      <x:c r="H3" s="11" t="str">
        <x:v>Bueno</x:v>
      </x:c>
      <x:c r="I3" s="11" t="str">
        <x:v>Abono tierra</x:v>
      </x:c>
      <x:c r="J3" s="11" t="str">
        <x:v>Guayabita del Perú está en Moravia</x:v>
      </x:c>
    </x:row>
    <x:row r="4">
      <x:c r="A4" s="11" t="str">
        <x:v>ARB_GUAYABA_FRAILES</x:v>
      </x:c>
      <x:c r="B4" s="11" t="str">
        <x:v>FIN_FRAILES</x:v>
      </x:c>
      <x:c r="C4" s="11" t="str">
        <x:v>Frailes</x:v>
      </x:c>
      <x:c r="D4" s="11" t="str">
        <x:v>Guayaba</x:v>
      </x:c>
      <x:c r="E4" s="11" t="str">
        <x:v>🌳</x:v>
      </x:c>
      <x:c r="F4" s="11" t="str">
        <x:v>Floración</x:v>
      </x:c>
      <x:c r="G4" s="11" t="str">
        <x:v>N/A</x:v>
      </x:c>
      <x:c r="H4" s="11" t="str">
        <x:v>Bueno</x:v>
      </x:c>
      <x:c r="I4" s="11" t="str">
        <x:v>Abono tierra</x:v>
      </x:c>
      <x:c r="J4" s="11" t="str">
        <x:v>Diferente a Guayabita del Perú</x:v>
      </x:c>
    </x:row>
    <x:row r="5">
      <x:c r="A5" s="11" t="str">
        <x:v>ARB_GUANABANA_FRAILES</x:v>
      </x:c>
      <x:c r="B5" s="11" t="str">
        <x:v>FIN_FRAILES</x:v>
      </x:c>
      <x:c r="C5" s="11" t="str">
        <x:v>Frailes</x:v>
      </x:c>
      <x:c r="D5" s="11" t="str">
        <x:v>Guanábana</x:v>
      </x:c>
      <x:c r="E5" s="11" t="str">
        <x:v>🌳</x:v>
      </x:c>
      <x:c r="F5" s="11" t="str">
        <x:v>Fructificación</x:v>
      </x:c>
      <x:c r="G5" s="11" t="str">
        <x:v>N/A</x:v>
      </x:c>
      <x:c r="H5" s="11" t="str">
        <x:v>Atención</x:v>
      </x:c>
      <x:c r="I5" s="11" t="str">
        <x:v>Control fitosanitario</x:v>
      </x:c>
      <x:c r="J5" s="11" t="str">
        <x:v>Puntos negros en frutos</x:v>
      </x:c>
    </x:row>
    <x:row r="6">
      <x:c r="A6" s="11" t="str">
        <x:v>ARB_NARANJA_WASH_FRAILES</x:v>
      </x:c>
      <x:c r="B6" s="11" t="str">
        <x:v>FIN_FRAILES</x:v>
      </x:c>
      <x:c r="C6" s="11" t="str">
        <x:v>Frailes</x:v>
      </x:c>
      <x:c r="D6" s="11" t="str">
        <x:v>Naranja Washington</x:v>
      </x:c>
      <x:c r="E6" s="11" t="str">
        <x:v>🍊</x:v>
      </x:c>
      <x:c r="F6" s="11" t="str">
        <x:v>Vegetativo</x:v>
      </x:c>
      <x:c r="G6" s="11" t="str">
        <x:v>Jul 2025</x:v>
      </x:c>
      <x:c r="H6" s="11" t="str">
        <x:v>Bueno</x:v>
      </x:c>
      <x:c r="I6" s="11" t="str">
        <x:v>Abono tierra</x:v>
      </x:c>
      <x:c r="J6" s="11" t="str">
        <x:v>Trasplante 2025</x:v>
      </x:c>
    </x:row>
    <x:row r="7">
      <x:c r="A7" s="11" t="str">
        <x:v>ARB_NARANJA_VALENCIA_FRAILES</x:v>
      </x:c>
      <x:c r="B7" s="11" t="str">
        <x:v>FIN_FRAILES</x:v>
      </x:c>
      <x:c r="C7" s="11" t="str">
        <x:v>Frailes</x:v>
      </x:c>
      <x:c r="D7" s="11" t="str">
        <x:v>Naranja Valencia</x:v>
      </x:c>
      <x:c r="E7" s="11" t="str">
        <x:v>🍊</x:v>
      </x:c>
      <x:c r="F7" s="11" t="str">
        <x:v>Vegetativo</x:v>
      </x:c>
      <x:c r="G7" s="11" t="str">
        <x:v>Jul 2025</x:v>
      </x:c>
      <x:c r="H7" s="11" t="str">
        <x:v>Bueno</x:v>
      </x:c>
      <x:c r="I7" s="11" t="str">
        <x:v>Abono tierra</x:v>
      </x:c>
      <x:c r="J7" s="11" t="str">
        <x:v>Trasplante 2025</x:v>
      </x:c>
    </x:row>
    <x:row r="8">
      <x:c r="A8" s="11" t="str">
        <x:v>ARB_LIMON_MANDARINA_FRAILES</x:v>
      </x:c>
      <x:c r="B8" s="11" t="str">
        <x:v>FIN_FRAILES</x:v>
      </x:c>
      <x:c r="C8" s="11" t="str">
        <x:v>Frailes</x:v>
      </x:c>
      <x:c r="D8" s="11" t="str">
        <x:v>Limón mandarina</x:v>
      </x:c>
      <x:c r="E8" s="11" t="str">
        <x:v>🍋</x:v>
      </x:c>
      <x:c r="F8" s="11" t="str">
        <x:v>Vegetativo</x:v>
      </x:c>
      <x:c r="G8" s="11" t="str">
        <x:v>Jul 2025</x:v>
      </x:c>
      <x:c r="H8" s="11" t="str">
        <x:v>Bueno</x:v>
      </x:c>
      <x:c r="I8" s="11" t="str">
        <x:v>Abono tierra</x:v>
      </x:c>
      <x:c r="J8" s="11" t="str">
        <x:v>Trasplante 2025</x:v>
      </x:c>
    </x:row>
    <x:row r="9">
      <x:c r="A9" s="11" t="str">
        <x:v>ARB_LIMON_MESINO_FRAILES</x:v>
      </x:c>
      <x:c r="B9" s="11" t="str">
        <x:v>FIN_FRAILES</x:v>
      </x:c>
      <x:c r="C9" s="11" t="str">
        <x:v>Frailes</x:v>
      </x:c>
      <x:c r="D9" s="11" t="str">
        <x:v>Limón mesino</x:v>
      </x:c>
      <x:c r="E9" s="11" t="str">
        <x:v>🍋</x:v>
      </x:c>
      <x:c r="F9" s="11" t="str">
        <x:v>Vegetativo</x:v>
      </x:c>
      <x:c r="G9" s="11" t="str">
        <x:v>Jul 2025</x:v>
      </x:c>
      <x:c r="H9" s="11" t="str">
        <x:v>Bueno</x:v>
      </x:c>
      <x:c r="I9" s="11" t="str">
        <x:v>Abono tierra</x:v>
      </x:c>
      <x:c r="J9" s="11" t="str">
        <x:v>Trasplante 2025</x:v>
      </x:c>
    </x:row>
    <x:row r="10">
      <x:c r="A10" s="11" t="str">
        <x:v>ARB_LIMON_DULCE_FRAILES</x:v>
      </x:c>
      <x:c r="B10" s="11" t="str">
        <x:v>FIN_FRAILES</x:v>
      </x:c>
      <x:c r="C10" s="11" t="str">
        <x:v>Frailes</x:v>
      </x:c>
      <x:c r="D10" s="11" t="str">
        <x:v>Limón dulce</x:v>
      </x:c>
      <x:c r="E10" s="11" t="str">
        <x:v>🍋</x:v>
      </x:c>
      <x:c r="F10" s="11" t="str">
        <x:v>Vegetativo</x:v>
      </x:c>
      <x:c r="G10" s="11" t="str">
        <x:v>Jul 2025</x:v>
      </x:c>
      <x:c r="H10" s="11" t="str">
        <x:v>Bueno</x:v>
      </x:c>
      <x:c r="I10" s="11" t="str">
        <x:v>Abono tierra</x:v>
      </x:c>
      <x:c r="J10" s="11" t="str">
        <x:v>Trasplante 2025</x:v>
      </x:c>
    </x:row>
    <x:row r="11">
      <x:c r="A11" s="11" t="str">
        <x:v>ARB_MANDARINA_FRAILES</x:v>
      </x:c>
      <x:c r="B11" s="11" t="str">
        <x:v>FIN_FRAILES</x:v>
      </x:c>
      <x:c r="C11" s="11" t="str">
        <x:v>Frailes</x:v>
      </x:c>
      <x:c r="D11" s="11" t="str">
        <x:v>Mandarina</x:v>
      </x:c>
      <x:c r="E11" s="11" t="str">
        <x:v>🍊</x:v>
      </x:c>
      <x:c r="F11" s="11" t="str">
        <x:v>Brotes</x:v>
      </x:c>
      <x:c r="G11" s="11" t="str">
        <x:v>Jul 2025</x:v>
      </x:c>
      <x:c r="H11" s="11" t="str">
        <x:v>Bueno</x:v>
      </x:c>
      <x:c r="I11" s="11" t="str">
        <x:v>Abono foliar</x:v>
      </x:c>
      <x:c r="J11" s="11" t="str">
        <x:v>Trasplante 2025</x:v>
      </x:c>
    </x:row>
    <x:row r="12">
      <x:c r="A12" s="11" t="str">
        <x:v>ARB_ANONA_FRAILES</x:v>
      </x:c>
      <x:c r="B12" s="11" t="str">
        <x:v>FIN_FRAILES</x:v>
      </x:c>
      <x:c r="C12" s="11" t="str">
        <x:v>Frailes</x:v>
      </x:c>
      <x:c r="D12" s="11" t="str">
        <x:v>Anona</x:v>
      </x:c>
      <x:c r="E12" s="11" t="str">
        <x:v>🌳</x:v>
      </x:c>
      <x:c r="F12" s="11" t="str">
        <x:v>Recuperación</x:v>
      </x:c>
      <x:c r="G12" s="11" t="str">
        <x:v>N/A</x:v>
      </x:c>
      <x:c r="H12" s="11" t="str">
        <x:v>Estrés</x:v>
      </x:c>
      <x:c r="I12" s="11" t="str">
        <x:v>Control fitosanitario</x:v>
      </x:c>
      <x:c r="J12" s="11" t="str">
        <x:v>Defoliación/recuperación</x:v>
      </x:c>
    </x:row>
    <x:row r="13">
      <x:c r="A13" s="11" t="str">
        <x:v>ARB_NISPERO_FRAILES</x:v>
      </x:c>
      <x:c r="B13" s="11" t="str">
        <x:v>FIN_FRAILES</x:v>
      </x:c>
      <x:c r="C13" s="11" t="str">
        <x:v>Frailes</x:v>
      </x:c>
      <x:c r="D13" s="11" t="str">
        <x:v>Níspero</x:v>
      </x:c>
      <x:c r="E13" s="11" t="str">
        <x:v>🌳</x:v>
      </x:c>
      <x:c r="F13" s="11" t="str">
        <x:v>Establecimiento</x:v>
      </x:c>
      <x:c r="G13" s="11" t="str">
        <x:v>Reciente</x:v>
      </x:c>
      <x:c r="H13" s="11" t="str">
        <x:v>Bueno</x:v>
      </x:c>
      <x:c r="I13" s="11" t="str">
        <x:v>Abono tierra</x:v>
      </x:c>
      <x:c r="J13" s="11" t="str">
        <x:v>Árbol joven</x:v>
      </x:c>
    </x:row>
    <x:row r="14">
      <x:c r="A14" s="11" t="str">
        <x:v>ARB_DURAZNO_FRAILES</x:v>
      </x:c>
      <x:c r="B14" s="11" t="str">
        <x:v>FIN_FRAILES</x:v>
      </x:c>
      <x:c r="C14" s="11" t="str">
        <x:v>Frailes</x:v>
      </x:c>
      <x:c r="D14" s="11" t="str">
        <x:v>Durazno</x:v>
      </x:c>
      <x:c r="E14" s="11" t="str">
        <x:v>🌸</x:v>
      </x:c>
      <x:c r="F14" s="11" t="str">
        <x:v>Vegetativo</x:v>
      </x:c>
      <x:c r="G14" s="11" t="str">
        <x:v>N/A</x:v>
      </x:c>
      <x:c r="H14" s="11" t="str">
        <x:v>Bueno</x:v>
      </x:c>
      <x:c r="I14" s="11" t="str">
        <x:v>Poda</x:v>
      </x:c>
      <x:c r="J14" s="11" t="str"/>
    </x:row>
    <x:row r="15">
      <x:c r="A15" s="11" t="str">
        <x:v>ARB_MANGO_FRAILES</x:v>
      </x:c>
      <x:c r="B15" s="11" t="str">
        <x:v>FIN_FRAILES</x:v>
      </x:c>
      <x:c r="C15" s="11" t="str">
        <x:v>Frailes</x:v>
      </x:c>
      <x:c r="D15" s="11" t="str">
        <x:v>Mango peludo</x:v>
      </x:c>
      <x:c r="E15" s="11" t="str">
        <x:v>🥭</x:v>
      </x:c>
      <x:c r="F15" s="11" t="str">
        <x:v>Vegetativo</x:v>
      </x:c>
      <x:c r="G15" s="11" t="str">
        <x:v>N/A</x:v>
      </x:c>
      <x:c r="H15" s="11" t="str">
        <x:v>Bueno</x:v>
      </x:c>
      <x:c r="I15" s="11" t="str">
        <x:v>Control fitosanitario</x:v>
      </x:c>
      <x:c r="J15" s="11" t="str">
        <x:v>Mango 10 años</x:v>
      </x:c>
    </x:row>
    <x:row r="16">
      <x:c r="A16" s="11" t="str">
        <x:v>ARB_MAMON_CHINO_FRAILES</x:v>
      </x:c>
      <x:c r="B16" s="11" t="str">
        <x:v>FIN_FRAILES</x:v>
      </x:c>
      <x:c r="C16" s="11" t="str">
        <x:v>Frailes</x:v>
      </x:c>
      <x:c r="D16" s="11" t="str">
        <x:v>Mamón chino</x:v>
      </x:c>
      <x:c r="E16" s="11" t="str">
        <x:v>🌳</x:v>
      </x:c>
      <x:c r="F16" s="11" t="str">
        <x:v>Recuperación</x:v>
      </x:c>
      <x:c r="G16" s="11" t="str">
        <x:v>N/A</x:v>
      </x:c>
      <x:c r="H16" s="11" t="str">
        <x:v>Atención</x:v>
      </x:c>
      <x:c r="I16" s="11" t="str">
        <x:v>Control fitosanitario</x:v>
      </x:c>
      <x:c r="J16" s="11" t="str">
        <x:v>Afectación por viento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8.210000038146973" hidden="0" customWidth="1"/>
    <x:col min="2" max="2" width="16.020000457763672" hidden="0" customWidth="1"/>
    <x:col min="3" max="3" width="16.290000915527344" hidden="0" customWidth="1"/>
    <x:col min="4" max="4" width="13.729999542236328" hidden="0" customWidth="1"/>
    <x:col min="5" max="5" width="9.5600004196167" hidden="0" customWidth="1"/>
    <x:col min="6" max="6" width="21.799999237060547" hidden="0" customWidth="1"/>
    <x:col min="7" max="7" width="18.84000015258789" hidden="0" customWidth="1"/>
    <x:col min="8" max="8" width="11.4399995803833" hidden="0" customWidth="1"/>
    <x:col min="9" max="9" width="6.460000038146973" hidden="0" customWidth="1"/>
    <x:col min="10" max="10" width="16.020000457763672" hidden="0" customWidth="1"/>
    <x:col min="11" max="11" width="11.4399995803833" hidden="0" customWidth="1"/>
    <x:col min="12" max="12" width="10.09000015258789" hidden="0" customWidth="1"/>
    <x:col min="13" max="13" width="5.650000095367432" hidden="0" customWidth="1"/>
    <x:col min="14" max="14" width="21.799999237060547" hidden="0" customWidth="1"/>
    <x:col min="15" max="15" width="11.569999694824219" hidden="0" customWidth="1"/>
    <x:col min="16" max="16" width="15.609999656677246" hidden="0" customWidth="1"/>
    <x:col min="17" max="17" width="13.460000038146973" hidden="0" customWidth="1"/>
    <x:col min="18" max="18" width="11.039999961853027" hidden="0" customWidth="1"/>
    <x:col min="19" max="19" width="31.6299991607666" hidden="0" customWidth="1"/>
  </x:cols>
  <x:sheetData>
    <x:row r="1">
      <x:c r="A1" s="24" t="str">
        <x:v>ID_Evento</x:v>
      </x:c>
      <x:c r="B1" s="24" t="str">
        <x:v>Tipo_Evento</x:v>
      </x:c>
      <x:c r="C1" s="24" t="str">
        <x:v>ID_Insumo</x:v>
      </x:c>
      <x:c r="D1" s="24" t="str">
        <x:v>Nombre_Insumo</x:v>
      </x:c>
      <x:c r="E1" s="24" t="str">
        <x:v>Target_Tipo</x:v>
      </x:c>
      <x:c r="F1" s="24" t="str">
        <x:v>Target_ID</x:v>
      </x:c>
      <x:c r="G1" s="24" t="str">
        <x:v>Target_Label</x:v>
      </x:c>
      <x:c r="H1" s="24" t="str">
        <x:v>Finca_ID</x:v>
      </x:c>
      <x:c r="I1" s="24" t="str">
        <x:v>Finca</x:v>
      </x:c>
      <x:c r="J1" s="24" t="str">
        <x:v>Unidad_ID</x:v>
      </x:c>
      <x:c r="K1" s="24" t="str">
        <x:v>Unidad</x:v>
      </x:c>
      <x:c r="L1" s="24" t="str">
        <x:v>Cultivo_ID</x:v>
      </x:c>
      <x:c r="M1" s="24" t="str">
        <x:v>Cultivo</x:v>
      </x:c>
      <x:c r="N1" s="24" t="str">
        <x:v>Arbol_ID</x:v>
      </x:c>
      <x:c r="O1" s="24" t="str">
        <x:v>Arbol</x:v>
      </x:c>
      <x:c r="P1" s="24" t="str">
        <x:v>Fecha_Programada</x:v>
      </x:c>
      <x:c r="Q1" s="24" t="str">
        <x:v>Fecha_Realizada</x:v>
      </x:c>
      <x:c r="R1" s="24" t="str">
        <x:v>Estado</x:v>
      </x:c>
      <x:c r="S1" s="24" t="str">
        <x:v>Notas</x:v>
      </x:c>
    </x:row>
    <x:row r="2">
      <x:c r="A2" s="11" t="str">
        <x:v>EVT_001</x:v>
      </x:c>
      <x:c r="B2" s="11" t="str">
        <x:v>Control fitosanitario</x:v>
      </x:c>
      <x:c r="C2" s="11" t="str">
        <x:v>INS_COBRE</x:v>
      </x:c>
      <x:c r="D2" s="11" t="str">
        <x:v>Cobre</x:v>
      </x:c>
      <x:c r="E2" s="11" t="str">
        <x:v>Cultivo</x:v>
      </x:c>
      <x:c r="F2" s="11" t="str">
        <x:v>SIE_FRA_003</x:v>
      </x:c>
      <x:c r="G2" s="11" t="str">
        <x:v>Cama Frailes 1 - Pepino</x:v>
      </x:c>
      <x:c r="H2" s="11" t="str">
        <x:v>FIN_FRAILES</x:v>
      </x:c>
      <x:c r="I2" s="11" t="str">
        <x:v>Frailes</x:v>
      </x:c>
      <x:c r="J2" s="11" t="str">
        <x:v>UNI_FRA_CAMA_01</x:v>
      </x:c>
      <x:c r="K2" s="11" t="str">
        <x:v>Cama Frailes 1</x:v>
      </x:c>
      <x:c r="L2" s="11" t="str">
        <x:v>CUL_PEPINO</x:v>
      </x:c>
      <x:c r="M2" s="11" t="str">
        <x:v>Pepino</x:v>
      </x:c>
      <x:c r="N2" s="11" t="str"/>
      <x:c r="O2" s="11" t="str"/>
      <x:c r="P2" s="14"/>
      <x:c r="Q2" s="14" t="n">
        <x:v>46152</x:v>
      </x:c>
      <x:c r="R2" s="11" t="str">
        <x:v>Pendiente</x:v>
      </x:c>
      <x:c r="S2" s="11" t="str">
        <x:v>Ejemplo: control fitosanitario con cobre</x:v>
      </x:c>
    </x:row>
    <x:row r="3">
      <x:c r="A3" s="11" t="str">
        <x:v>EVT_002</x:v>
      </x:c>
      <x:c r="B3" s="11" t="str">
        <x:v>Control fitosanitario</x:v>
      </x:c>
      <x:c r="C3" s="11" t="str">
        <x:v>INS_MISTRAL</x:v>
      </x:c>
      <x:c r="D3" s="11" t="str">
        <x:v>Mistral</x:v>
      </x:c>
      <x:c r="E3" s="11" t="str">
        <x:v>Cultivo</x:v>
      </x:c>
      <x:c r="F3" s="11" t="str">
        <x:v>SIE_FRA_003</x:v>
      </x:c>
      <x:c r="G3" s="11" t="str">
        <x:v>Cama Frailes 1 - Pepino</x:v>
      </x:c>
      <x:c r="H3" s="11" t="str">
        <x:v>FIN_FRAILES</x:v>
      </x:c>
      <x:c r="I3" s="11" t="str">
        <x:v>Frailes</x:v>
      </x:c>
      <x:c r="J3" s="11" t="str">
        <x:v>UNI_FRA_CAMA_01</x:v>
      </x:c>
      <x:c r="K3" s="11" t="str">
        <x:v>Cama Frailes 1</x:v>
      </x:c>
      <x:c r="L3" s="11" t="str">
        <x:v>CUL_PEPINO</x:v>
      </x:c>
      <x:c r="M3" s="11" t="str">
        <x:v>Pepino</x:v>
      </x:c>
      <x:c r="N3" s="11" t="str"/>
      <x:c r="O3" s="11" t="str"/>
      <x:c r="P3" s="14" t="n">
        <x:v>46188</x:v>
      </x:c>
      <x:c r="Q3" s="14"/>
      <x:c r="R3" s="11" t="str">
        <x:v>No empezado</x:v>
      </x:c>
      <x:c r="S3" s="11" t="str">
        <x:v>Próximo control fitosanitario</x:v>
      </x:c>
    </x:row>
    <x:row r="4">
      <x:c r="A4" s="11" t="str">
        <x:v>EVT_003</x:v>
      </x:c>
      <x:c r="B4" s="11" t="str">
        <x:v>Abono tierra</x:v>
      </x:c>
      <x:c r="C4" s="11" t="str">
        <x:v>INS_CAL_DOLOMITA</x:v>
      </x:c>
      <x:c r="D4" s="11" t="str">
        <x:v>Cal Dolomita</x:v>
      </x:c>
      <x:c r="E4" s="11" t="str">
        <x:v>Arbol</x:v>
      </x:c>
      <x:c r="F4" s="11" t="str">
        <x:v>ARB_GUAYABA_FRAILES</x:v>
      </x:c>
      <x:c r="G4" s="11" t="str">
        <x:v>Guayaba - Frailes</x:v>
      </x:c>
      <x:c r="H4" s="11" t="str">
        <x:v>FIN_FRAILES</x:v>
      </x:c>
      <x:c r="I4" s="11" t="str">
        <x:v>Frailes</x:v>
      </x:c>
      <x:c r="J4" s="11" t="str"/>
      <x:c r="K4" s="11" t="str"/>
      <x:c r="L4" s="11" t="str"/>
      <x:c r="M4" s="11" t="str"/>
      <x:c r="N4" s="11" t="str">
        <x:v>ARB_GUAYABA_FRAILES</x:v>
      </x:c>
      <x:c r="O4" s="11" t="str">
        <x:v>Guayaba</x:v>
      </x:c>
      <x:c r="P4" s="14"/>
      <x:c r="Q4" s="14" t="n">
        <x:v>46172</x:v>
      </x:c>
      <x:c r="R4" s="11" t="str">
        <x:v>Completado</x:v>
      </x:c>
      <x:c r="S4" s="11" t="str">
        <x:v>Aplicación de cal dolomita</x:v>
      </x:c>
    </x:row>
    <x:row r="5">
      <x:c r="A5" s="11" t="str">
        <x:v>EVT_004</x:v>
      </x:c>
      <x:c r="B5" s="11" t="str">
        <x:v>Abono tierra</x:v>
      </x:c>
      <x:c r="C5" s="11" t="str">
        <x:v>INS_YARAMILA</x:v>
      </x:c>
      <x:c r="D5" s="11" t="str">
        <x:v>YaraMila</x:v>
      </x:c>
      <x:c r="E5" s="11" t="str">
        <x:v>Arbol</x:v>
      </x:c>
      <x:c r="F5" s="11" t="str">
        <x:v>ARB_GUAYABA_FRAILES</x:v>
      </x:c>
      <x:c r="G5" s="11" t="str">
        <x:v>Guayaba - Frailes</x:v>
      </x:c>
      <x:c r="H5" s="11" t="str">
        <x:v>FIN_FRAILES</x:v>
      </x:c>
      <x:c r="I5" s="11" t="str">
        <x:v>Frailes</x:v>
      </x:c>
      <x:c r="J5" s="11" t="str"/>
      <x:c r="K5" s="11" t="str"/>
      <x:c r="L5" s="11" t="str"/>
      <x:c r="M5" s="11" t="str"/>
      <x:c r="N5" s="11" t="str">
        <x:v>ARB_GUAYABA_FRAILES</x:v>
      </x:c>
      <x:c r="O5" s="11" t="str">
        <x:v>Guayaba</x:v>
      </x:c>
      <x:c r="P5" s="14"/>
      <x:c r="Q5" s="14" t="n">
        <x:v>46179</x:v>
      </x:c>
      <x:c r="R5" s="11" t="str">
        <x:v>Completado</x:v>
      </x:c>
      <x:c r="S5" s="11" t="str">
        <x:v>Aplicación de YaraMila</x:v>
      </x:c>
    </x:row>
    <x:row r="6">
      <x:c r="A6" s="11" t="str">
        <x:v>EVT_005</x:v>
      </x:c>
      <x:c r="B6" s="11" t="str">
        <x:v>Control fitosanitario</x:v>
      </x:c>
      <x:c r="C6" s="11" t="str">
        <x:v>INS_MISTRAL</x:v>
      </x:c>
      <x:c r="D6" s="11" t="str">
        <x:v>Mistral</x:v>
      </x:c>
      <x:c r="E6" s="11" t="str">
        <x:v>Arbol</x:v>
      </x:c>
      <x:c r="F6" s="11" t="str">
        <x:v>ARB_MANGO_FRAILES</x:v>
      </x:c>
      <x:c r="G6" s="11" t="str">
        <x:v>Mango peludo - Frailes</x:v>
      </x:c>
      <x:c r="H6" s="11" t="str">
        <x:v>FIN_FRAILES</x:v>
      </x:c>
      <x:c r="I6" s="11" t="str">
        <x:v>Frailes</x:v>
      </x:c>
      <x:c r="J6" s="11" t="str"/>
      <x:c r="K6" s="11" t="str"/>
      <x:c r="L6" s="11" t="str"/>
      <x:c r="M6" s="11" t="str"/>
      <x:c r="N6" s="11" t="str">
        <x:v>ARB_MANGO_FRAILES</x:v>
      </x:c>
      <x:c r="O6" s="11" t="str">
        <x:v>Mango peludo</x:v>
      </x:c>
      <x:c r="P6" s="14" t="n">
        <x:v>46264</x:v>
      </x:c>
      <x:c r="Q6" s="14"/>
      <x:c r="R6" s="11" t="str">
        <x:v>No empezado</x:v>
      </x:c>
      <x:c r="S6" s="11" t="str">
        <x:v>Control fitosanitario programado</x:v>
      </x:c>
    </x:row>
    <x:row r="7">
      <x:c r="A7" s="11" t="str">
        <x:v>EVT_006</x:v>
      </x:c>
      <x:c r="B7" s="11" t="str">
        <x:v>Poda</x:v>
      </x:c>
      <x:c r="C7" s="11" t="str"/>
      <x:c r="D7" s="11" t="str"/>
      <x:c r="E7" s="11" t="str">
        <x:v>Arbol</x:v>
      </x:c>
      <x:c r="F7" s="11" t="str">
        <x:v>ARB_MANGO_FRAILES</x:v>
      </x:c>
      <x:c r="G7" s="11" t="str">
        <x:v>Mango peludo - Frailes</x:v>
      </x:c>
      <x:c r="H7" s="11" t="str">
        <x:v>FIN_FRAILES</x:v>
      </x:c>
      <x:c r="I7" s="11" t="str">
        <x:v>Frailes</x:v>
      </x:c>
      <x:c r="J7" s="11" t="str"/>
      <x:c r="K7" s="11" t="str"/>
      <x:c r="L7" s="11" t="str"/>
      <x:c r="M7" s="11" t="str"/>
      <x:c r="N7" s="11" t="str">
        <x:v>ARB_MANGO_FRAILES</x:v>
      </x:c>
      <x:c r="O7" s="11" t="str">
        <x:v>Mango peludo</x:v>
      </x:c>
      <x:c r="P7" s="14" t="n">
        <x:v>46295</x:v>
      </x:c>
      <x:c r="Q7" s="14"/>
      <x:c r="R7" s="11" t="str">
        <x:v>No empezado</x:v>
      </x:c>
      <x:c r="S7" s="11" t="str">
        <x:v>Poda programada</x:v>
      </x:c>
    </x:row>
    <x:row r="8">
      <x:c r="A8" s="11" t="str">
        <x:v>EVT_007</x:v>
      </x:c>
      <x:c r="B8" s="11" t="str">
        <x:v>Abono foliar</x:v>
      </x:c>
      <x:c r="C8" s="11" t="str">
        <x:v>INS_CALCIO_BORO</x:v>
      </x:c>
      <x:c r="D8" s="11" t="str">
        <x:v>Calcio Boro</x:v>
      </x:c>
      <x:c r="E8" s="11" t="str">
        <x:v>Arbol</x:v>
      </x:c>
      <x:c r="F8" s="11" t="str">
        <x:v>ARB_MANZANO_MORAVIA</x:v>
      </x:c>
      <x:c r="G8" s="11" t="str">
        <x:v>Manzano tico - Moravia</x:v>
      </x:c>
      <x:c r="H8" s="11" t="str">
        <x:v>FIN_MORAVIA</x:v>
      </x:c>
      <x:c r="I8" s="11" t="str">
        <x:v>Moravia</x:v>
      </x:c>
      <x:c r="J8" s="11" t="str"/>
      <x:c r="K8" s="11" t="str"/>
      <x:c r="L8" s="11" t="str"/>
      <x:c r="M8" s="11" t="str"/>
      <x:c r="N8" s="11" t="str">
        <x:v>ARB_MANZANO_MORAVIA</x:v>
      </x:c>
      <x:c r="O8" s="11" t="str">
        <x:v>Manzano tico</x:v>
      </x:c>
      <x:c r="P8" s="14" t="n">
        <x:v>46193</x:v>
      </x:c>
      <x:c r="Q8" s="14"/>
      <x:c r="R8" s="11" t="str">
        <x:v>No empezado</x:v>
      </x:c>
      <x:c r="S8" s="11" t="str">
        <x:v>Apoyo foliar en llenado</x:v>
      </x:c>
    </x:row>
    <x:row r="9">
      <x:c r="A9" t="str">
        <x:v>EVT_008</x:v>
      </x:c>
      <x:c r="B9" t="str">
        <x:v>Control fitosanitario</x:v>
      </x:c>
      <x:c r="C9" t="str">
        <x:v>INS_MISTRAL</x:v>
      </x:c>
      <x:c r="D9" t="str">
        <x:v>Mistral</x:v>
      </x:c>
      <x:c r="E9" t="str">
        <x:v>Arbol</x:v>
      </x:c>
      <x:c r="F9" t="str">
        <x:v>ARB_MANZANO_MORAVIA</x:v>
      </x:c>
      <x:c r="G9" t="str">
        <x:v>Manzano tico - Moravia</x:v>
      </x:c>
      <x:c r="H9" t="str">
        <x:v>FIN_MORAVIA</x:v>
      </x:c>
      <x:c r="I9" t="str">
        <x:v>Moravia</x:v>
      </x:c>
      <x:c r="J9"/>
      <x:c r="K9"/>
      <x:c r="L9"/>
      <x:c r="M9"/>
      <x:c r="N9" t="str">
        <x:v>ARB_MANZANO_MORAVIA</x:v>
      </x:c>
      <x:c r="O9" t="str">
        <x:v>Manzano tico</x:v>
      </x:c>
      <x:c r="P9" s="18"/>
      <x:c r="Q9" s="18" t="n">
        <x:v>46181</x:v>
      </x:c>
      <x:c r="R9" t="str">
        <x:v>Completado</x:v>
      </x:c>
      <x:c r="S9" t="str">
        <x:v>Historial: control fitosanitario aplicado</x:v>
      </x:c>
    </x:row>
    <x:row r="10">
      <x:c r="A10" t="str">
        <x:v>EVT_009</x:v>
      </x:c>
      <x:c r="B10" t="str">
        <x:v>Control fitosanitario</x:v>
      </x:c>
      <x:c r="C10" t="str">
        <x:v>INS_MISTRAL</x:v>
      </x:c>
      <x:c r="D10" t="str">
        <x:v>Mistral</x:v>
      </x:c>
      <x:c r="E10" t="str">
        <x:v>Arbol</x:v>
      </x:c>
      <x:c r="F10" t="str">
        <x:v>ARB_MANZANO_MORAVIA</x:v>
      </x:c>
      <x:c r="G10" t="str">
        <x:v>Manzano tico - Moravia</x:v>
      </x:c>
      <x:c r="H10" t="str">
        <x:v>FIN_MORAVIA</x:v>
      </x:c>
      <x:c r="I10" t="str">
        <x:v>Moravia</x:v>
      </x:c>
      <x:c r="J10"/>
      <x:c r="K10"/>
      <x:c r="L10"/>
      <x:c r="M10"/>
      <x:c r="N10" t="str">
        <x:v>ARB_MANZANO_MORAVIA</x:v>
      </x:c>
      <x:c r="O10" t="str">
        <x:v>Manzano tico</x:v>
      </x:c>
      <x:c r="P10" s="18"/>
      <x:c r="Q10" s="18" t="n">
        <x:v>46154</x:v>
      </x:c>
      <x:c r="R10" t="str">
        <x:v>Completado</x:v>
      </x:c>
      <x:c r="S10" t="str">
        <x:v>Historial: control previo</x:v>
      </x:c>
    </x:row>
    <x:row r="11">
      <x:c r="A11" t="str">
        <x:v>EVT_010</x:v>
      </x:c>
      <x:c r="B11" t="str">
        <x:v>Abono tierra</x:v>
      </x:c>
      <x:c r="C11" t="str">
        <x:v>INS_YARAMILA</x:v>
      </x:c>
      <x:c r="D11" t="str">
        <x:v>YaraMila</x:v>
      </x:c>
      <x:c r="E11" t="str">
        <x:v>Arbol</x:v>
      </x:c>
      <x:c r="F11" t="str">
        <x:v>ARB_MANZANO_MORAVIA</x:v>
      </x:c>
      <x:c r="G11" t="str">
        <x:v>Manzano tico - Moravia</x:v>
      </x:c>
      <x:c r="H11" t="str">
        <x:v>FIN_MORAVIA</x:v>
      </x:c>
      <x:c r="I11" t="str">
        <x:v>Moravia</x:v>
      </x:c>
      <x:c r="J11"/>
      <x:c r="K11"/>
      <x:c r="L11"/>
      <x:c r="M11"/>
      <x:c r="N11" t="str">
        <x:v>ARB_MANZANO_MORAVIA</x:v>
      </x:c>
      <x:c r="O11" t="str">
        <x:v>Manzano tico</x:v>
      </x:c>
      <x:c r="P11" s="18"/>
      <x:c r="Q11" s="18" t="n">
        <x:v>46132</x:v>
      </x:c>
      <x:c r="R11" t="str">
        <x:v>Completado</x:v>
      </x:c>
      <x:c r="S11" t="str">
        <x:v>Historial: abonada de tierra</x:v>
      </x:c>
    </x:row>
    <x:row r="12">
      <x:c r="P12" s="18"/>
      <x:c r="Q12" s="18"/>
    </x:row>
    <x:row r="13">
      <x:c r="P13" s="18"/>
      <x:c r="Q13" s="18"/>
    </x:row>
    <x:row r="14">
      <x:c r="P14" s="18"/>
      <x:c r="Q14" s="18"/>
    </x:row>
    <x:row r="15">
      <x:c r="P15" s="18"/>
      <x:c r="Q15" s="18"/>
    </x:row>
    <x:row r="16">
      <x:c r="P16" s="18"/>
      <x:c r="Q16" s="18"/>
    </x:row>
    <x:row r="17">
      <x:c r="P17" s="18"/>
      <x:c r="Q17" s="18"/>
    </x:row>
    <x:row r="18">
      <x:c r="P18" s="18"/>
      <x:c r="Q18" s="18"/>
    </x:row>
    <x:row r="19">
      <x:c r="P19" s="18"/>
      <x:c r="Q19" s="18"/>
    </x:row>
    <x:row r="20">
      <x:c r="P20" s="18"/>
      <x:c r="Q20" s="18"/>
    </x:row>
    <x:row r="21">
      <x:c r="P21" s="18"/>
      <x:c r="Q21" s="18"/>
    </x:row>
    <x:row r="22">
      <x:c r="P22" s="18"/>
      <x:c r="Q22" s="18"/>
    </x:row>
    <x:row r="23">
      <x:c r="P23" s="18"/>
      <x:c r="Q23" s="18"/>
    </x:row>
    <x:row r="24">
      <x:c r="P24" s="18"/>
      <x:c r="Q24" s="18"/>
    </x:row>
    <x:row r="25">
      <x:c r="P25" s="18"/>
      <x:c r="Q25" s="18"/>
    </x:row>
    <x:row r="26">
      <x:c r="P26" s="18"/>
      <x:c r="Q26" s="18"/>
    </x:row>
    <x:row r="27">
      <x:c r="P27" s="18"/>
      <x:c r="Q27" s="18"/>
    </x:row>
    <x:row r="28">
      <x:c r="P28" s="18"/>
      <x:c r="Q28" s="18"/>
    </x:row>
    <x:row r="29">
      <x:c r="P29" s="18"/>
      <x:c r="Q29" s="18"/>
    </x:row>
    <x:row r="30">
      <x:c r="P30" s="18"/>
      <x:c r="Q30" s="18"/>
    </x:row>
    <x:row r="31">
      <x:c r="P31" s="18"/>
      <x:c r="Q31" s="18"/>
    </x:row>
    <x:row r="32">
      <x:c r="P32" s="18"/>
      <x:c r="Q32" s="18"/>
    </x:row>
    <x:row r="33">
      <x:c r="P33" s="18"/>
      <x:c r="Q33" s="18"/>
    </x:row>
    <x:row r="34">
      <x:c r="P34" s="18"/>
      <x:c r="Q34" s="18"/>
    </x:row>
    <x:row r="35">
      <x:c r="P35" s="18"/>
      <x:c r="Q35" s="18"/>
    </x:row>
    <x:row r="36">
      <x:c r="P36" s="18"/>
      <x:c r="Q36" s="18"/>
    </x:row>
    <x:row r="37">
      <x:c r="P37" s="18"/>
      <x:c r="Q37" s="18"/>
    </x:row>
    <x:row r="38">
      <x:c r="P38" s="18"/>
      <x:c r="Q38" s="18"/>
    </x:row>
    <x:row r="39">
      <x:c r="P39" s="18"/>
      <x:c r="Q39" s="18"/>
    </x:row>
    <x:row r="40">
      <x:c r="P40" s="18"/>
      <x:c r="Q40" s="18"/>
    </x:row>
    <x:row r="41">
      <x:c r="P41" s="18"/>
      <x:c r="Q41" s="18"/>
    </x:row>
    <x:row r="42">
      <x:c r="P42" s="18"/>
      <x:c r="Q42" s="18"/>
    </x:row>
    <x:row r="43">
      <x:c r="P43" s="18"/>
      <x:c r="Q43" s="18"/>
    </x:row>
    <x:row r="44">
      <x:c r="P44" s="18"/>
      <x:c r="Q44" s="18"/>
    </x:row>
    <x:row r="45">
      <x:c r="P45" s="18"/>
      <x:c r="Q45" s="18"/>
    </x:row>
    <x:row r="46">
      <x:c r="P46" s="18"/>
      <x:c r="Q46" s="18"/>
    </x:row>
    <x:row r="47">
      <x:c r="P47" s="18"/>
      <x:c r="Q47" s="18"/>
    </x:row>
    <x:row r="48">
      <x:c r="P48" s="18"/>
      <x:c r="Q48" s="18"/>
    </x:row>
    <x:row r="49">
      <x:c r="P49" s="18"/>
      <x:c r="Q49" s="18"/>
    </x:row>
    <x:row r="50">
      <x:c r="P50" s="18"/>
      <x:c r="Q50" s="18"/>
    </x:row>
    <x:row r="51">
      <x:c r="P51" s="18"/>
      <x:c r="Q51" s="18"/>
    </x:row>
    <x:row r="52">
      <x:c r="P52" s="18"/>
      <x:c r="Q52" s="18"/>
    </x:row>
    <x:row r="53">
      <x:c r="P53" s="18"/>
      <x:c r="Q53" s="18"/>
    </x:row>
    <x:row r="54">
      <x:c r="P54" s="18"/>
      <x:c r="Q54" s="18"/>
    </x:row>
    <x:row r="55">
      <x:c r="P55" s="18"/>
      <x:c r="Q55" s="18"/>
    </x:row>
    <x:row r="56">
      <x:c r="P56" s="18"/>
      <x:c r="Q56" s="18"/>
    </x:row>
    <x:row r="57">
      <x:c r="P57" s="18"/>
      <x:c r="Q57" s="18"/>
    </x:row>
    <x:row r="58">
      <x:c r="P58" s="18"/>
      <x:c r="Q58" s="18"/>
    </x:row>
    <x:row r="59">
      <x:c r="P59" s="18"/>
      <x:c r="Q59" s="18"/>
    </x:row>
    <x:row r="60">
      <x:c r="P60" s="18"/>
      <x:c r="Q60" s="18"/>
    </x:row>
    <x:row r="61">
      <x:c r="P61" s="18"/>
      <x:c r="Q61" s="18"/>
    </x:row>
    <x:row r="62">
      <x:c r="P62" s="18"/>
      <x:c r="Q62" s="18"/>
    </x:row>
    <x:row r="63">
      <x:c r="P63" s="18"/>
      <x:c r="Q63" s="18"/>
    </x:row>
    <x:row r="64">
      <x:c r="P64" s="18"/>
      <x:c r="Q64" s="18"/>
    </x:row>
    <x:row r="65">
      <x:c r="P65" s="18"/>
      <x:c r="Q65" s="18"/>
    </x:row>
    <x:row r="66">
      <x:c r="P66" s="18"/>
      <x:c r="Q66" s="18"/>
    </x:row>
    <x:row r="67">
      <x:c r="P67" s="18"/>
      <x:c r="Q67" s="18"/>
    </x:row>
    <x:row r="68">
      <x:c r="P68" s="18"/>
      <x:c r="Q68" s="18"/>
    </x:row>
    <x:row r="69">
      <x:c r="P69" s="18"/>
      <x:c r="Q69" s="18"/>
    </x:row>
    <x:row r="70">
      <x:c r="P70" s="18"/>
      <x:c r="Q70" s="18"/>
    </x:row>
    <x:row r="71">
      <x:c r="P71" s="18"/>
      <x:c r="Q71" s="18"/>
    </x:row>
    <x:row r="72">
      <x:c r="P72" s="18"/>
      <x:c r="Q72" s="18"/>
    </x:row>
    <x:row r="73">
      <x:c r="P73" s="18"/>
      <x:c r="Q73" s="18"/>
    </x:row>
    <x:row r="74">
      <x:c r="P74" s="18"/>
      <x:c r="Q74" s="18"/>
    </x:row>
    <x:row r="75">
      <x:c r="P75" s="18"/>
      <x:c r="Q75" s="18"/>
    </x:row>
    <x:row r="76">
      <x:c r="P76" s="18"/>
      <x:c r="Q76" s="18"/>
    </x:row>
    <x:row r="77">
      <x:c r="P77" s="18"/>
      <x:c r="Q77" s="18"/>
    </x:row>
    <x:row r="78">
      <x:c r="P78" s="18"/>
      <x:c r="Q78" s="18"/>
    </x:row>
    <x:row r="79">
      <x:c r="P79" s="18"/>
      <x:c r="Q79" s="18"/>
    </x:row>
    <x:row r="80">
      <x:c r="P80" s="18"/>
      <x:c r="Q80" s="18"/>
    </x:row>
    <x:row r="81">
      <x:c r="P81" s="18"/>
      <x:c r="Q81" s="18"/>
    </x:row>
    <x:row r="82">
      <x:c r="P82" s="18"/>
      <x:c r="Q82" s="18"/>
    </x:row>
    <x:row r="83">
      <x:c r="P83" s="18"/>
      <x:c r="Q83" s="18"/>
    </x:row>
    <x:row r="84">
      <x:c r="P84" s="18"/>
      <x:c r="Q84" s="18"/>
    </x:row>
    <x:row r="85">
      <x:c r="P85" s="18"/>
      <x:c r="Q85" s="18"/>
    </x:row>
    <x:row r="86">
      <x:c r="P86" s="18"/>
      <x:c r="Q86" s="18"/>
    </x:row>
    <x:row r="87">
      <x:c r="P87" s="18"/>
      <x:c r="Q87" s="18"/>
    </x:row>
    <x:row r="88">
      <x:c r="P88" s="18"/>
      <x:c r="Q88" s="18"/>
    </x:row>
    <x:row r="89">
      <x:c r="P89" s="18"/>
      <x:c r="Q89" s="18"/>
    </x:row>
    <x:row r="90">
      <x:c r="P90" s="18"/>
      <x:c r="Q90" s="18"/>
    </x:row>
    <x:row r="91">
      <x:c r="P91" s="18"/>
      <x:c r="Q91" s="18"/>
    </x:row>
    <x:row r="92">
      <x:c r="P92" s="18"/>
      <x:c r="Q92" s="18"/>
    </x:row>
    <x:row r="93">
      <x:c r="P93" s="18"/>
      <x:c r="Q93" s="18"/>
    </x:row>
    <x:row r="94">
      <x:c r="P94" s="18"/>
      <x:c r="Q94" s="18"/>
    </x:row>
    <x:row r="95">
      <x:c r="P95" s="18"/>
      <x:c r="Q95" s="18"/>
    </x:row>
    <x:row r="96">
      <x:c r="P96" s="18"/>
      <x:c r="Q96" s="18"/>
    </x:row>
    <x:row r="97">
      <x:c r="P97" s="18"/>
      <x:c r="Q97" s="18"/>
    </x:row>
    <x:row r="98">
      <x:c r="P98" s="18"/>
      <x:c r="Q98" s="18"/>
    </x:row>
    <x:row r="99">
      <x:c r="P99" s="18"/>
      <x:c r="Q99" s="18"/>
    </x:row>
    <x:row r="100">
      <x:c r="P100" s="18"/>
      <x:c r="Q100" s="18"/>
    </x:row>
  </x:sheetData>
  <x:pageMargins left="0.7" right="0.7" top="0.75" bottom="0.75" header="0.3" footer="0.3"/>
</x:worksheet>
</file>