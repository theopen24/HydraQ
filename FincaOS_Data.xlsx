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871f969f1944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_MVP" sheetId="1" r:id="Ra43604a3c683445d"/>
    <x:sheet xmlns:r="http://schemas.openxmlformats.org/officeDocument/2006/relationships" name="Fincas" sheetId="2" r:id="R973cb70a12954716"/>
    <x:sheet xmlns:r="http://schemas.openxmlformats.org/officeDocument/2006/relationships" name="Unidades" sheetId="3" r:id="Rb7a45f49bd824085"/>
    <x:sheet xmlns:r="http://schemas.openxmlformats.org/officeDocument/2006/relationships" name="CatalogoCultivos" sheetId="4" r:id="R1509134335564d4c"/>
    <x:sheet xmlns:r="http://schemas.openxmlformats.org/officeDocument/2006/relationships" name="CultivosSembrados" sheetId="5" r:id="R40779fc320d0450d"/>
    <x:sheet xmlns:r="http://schemas.openxmlformats.org/officeDocument/2006/relationships" name="VistaCultivos" sheetId="6" r:id="Rc7bde972848c4607"/>
    <x:sheet xmlns:r="http://schemas.openxmlformats.org/officeDocument/2006/relationships" name="Listas" sheetId="7" r:id="R0ad2d651e18d4b60"/>
    <x:sheet xmlns:r="http://schemas.openxmlformats.org/officeDocument/2006/relationships" name="Camas" sheetId="8" r:id="R255ab1e13d80424d"/>
    <x:sheet xmlns:r="http://schemas.openxmlformats.org/officeDocument/2006/relationships" name="Insumos" sheetId="9" r:id="Ra859057da49d4c2c"/>
    <x:sheet xmlns:r="http://schemas.openxmlformats.org/officeDocument/2006/relationships" name="Arboles" sheetId="10" r:id="R3eecabfe036047e6"/>
    <x:sheet xmlns:r="http://schemas.openxmlformats.org/officeDocument/2006/relationships" name="EventosAgricolas" sheetId="11" r:id="Rfedd0e27ffb64ab5"/>
    <x:sheet xmlns:r="http://schemas.openxmlformats.org/officeDocument/2006/relationships" name="HistorialResumen" sheetId="12" r:id="R25f0607c196541b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3">
    <x:font>
      <x:sz val="11"/>
      <x:name val="Carlito"/>
    </x:font>
    <x:font>
      <x:b/>
      <x:sz val="11"/>
      <x:color rgb="FFFFFF"/>
      <x:name val="Carlito"/>
    </x:font>
    <x:font>
      <x:b/>
      <x:sz val="18"/>
      <x:color rgb="14532D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14532D"/>
      </x:patternFill>
    </x:fill>
    <x:fill>
      <x:patternFill patternType="solid">
        <x:fgColor rgb="14532D"/>
      </x:patternFill>
    </x:fill>
  </x:fills>
  <x:borders count="2">
    <x:border/>
    <x:border/>
  </x:borders>
  <x:cellStyleXfs count="1">
    <x:xf numFmtId="0" fontId="0" fillId="0" borderId="0"/>
  </x:cellStyleXfs>
  <x:cellXfs count="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4fa7c530794f89" /><Relationship Type="http://schemas.openxmlformats.org/officeDocument/2006/relationships/theme" Target="/xl/theme/theme1.xml" Id="Ra2108fd31239454e" /><Relationship Type="http://schemas.openxmlformats.org/officeDocument/2006/relationships/sharedStrings" Target="/xl/sharedStrings.xml" Id="R7770235d82844c19" /><Relationship Type="http://schemas.openxmlformats.org/officeDocument/2006/relationships/worksheet" Target="/xl/worksheets/sheet1.xml" Id="Ra43604a3c683445d" /><Relationship Type="http://schemas.openxmlformats.org/officeDocument/2006/relationships/worksheet" Target="/xl/worksheets/sheet2.xml" Id="R973cb70a12954716" /><Relationship Type="http://schemas.openxmlformats.org/officeDocument/2006/relationships/worksheet" Target="/xl/worksheets/sheet3.xml" Id="Rb7a45f49bd824085" /><Relationship Type="http://schemas.openxmlformats.org/officeDocument/2006/relationships/worksheet" Target="/xl/worksheets/sheet4.xml" Id="R1509134335564d4c" /><Relationship Type="http://schemas.openxmlformats.org/officeDocument/2006/relationships/worksheet" Target="/xl/worksheets/sheet5.xml" Id="R40779fc320d0450d" /><Relationship Type="http://schemas.openxmlformats.org/officeDocument/2006/relationships/worksheet" Target="/xl/worksheets/sheet6.xml" Id="Rc7bde972848c4607" /><Relationship Type="http://schemas.openxmlformats.org/officeDocument/2006/relationships/worksheet" Target="/xl/worksheets/sheet7.xml" Id="R0ad2d651e18d4b60" /><Relationship Type="http://schemas.openxmlformats.org/officeDocument/2006/relationships/worksheet" Target="/xl/worksheets/sheet8.xml" Id="R255ab1e13d80424d" /><Relationship Type="http://schemas.openxmlformats.org/officeDocument/2006/relationships/worksheet" Target="/xl/worksheets/sheet9.xml" Id="Ra859057da49d4c2c" /><Relationship Type="http://schemas.openxmlformats.org/officeDocument/2006/relationships/worksheet" Target="/xl/worksheets/sheet10.xml" Id="R3eecabfe036047e6" /><Relationship Type="http://schemas.openxmlformats.org/officeDocument/2006/relationships/worksheet" Target="/xl/worksheets/sheet11.xml" Id="Rfedd0e27ffb64ab5" /><Relationship Type="http://schemas.openxmlformats.org/officeDocument/2006/relationships/worksheet" Target="/xl/worksheets/sheet12.xml" Id="R25f0607c196541be" /></Relationships>
</file>

<file path=xl/tables/table1.xml><?xml version="1.0" encoding="utf-8"?>
<x:table xmlns:x="http://schemas.openxmlformats.org/spreadsheetml/2006/main" id="1" name="FincasTable" displayName="FincasTable" ref="A1:D3" headerRowCount="1">
  <x:tableColumns count="4">
    <x:tableColumn id="1" name="Finca_ID"/>
    <x:tableColumn id="2" name="Finca_Nombre"/>
    <x:tableColumn id="3" name="Ubicacion"/>
    <x:tableColumn id="4" name="Notas"/>
  </x:tableColumns>
  <x:tableStyleInfo name="TableStyleMedium2" showRowStripes="1"/>
</x:table>
</file>

<file path=xl/tables/table2.xml><?xml version="1.0" encoding="utf-8"?>
<x:table xmlns:x="http://schemas.openxmlformats.org/spreadsheetml/2006/main" id="2" name="UnidadesTable" displayName="UnidadesTable" ref="A1:F9" headerRowCount="1">
  <x:tableColumns count="6">
    <x:tableColumn id="1" name="Unidad_ID"/>
    <x:tableColumn id="2" name="Finca_ID"/>
    <x:tableColumn id="3" name="Unidad_Nombre"/>
    <x:tableColumn id="4" name="Tipo_Unidad"/>
    <x:tableColumn id="5" name="Estado"/>
    <x:tableColumn id="6" name="Notas"/>
  </x:tableColumns>
  <x:tableStyleInfo name="TableStyleMedium2" showRowStripes="1"/>
</x:table>
</file>

<file path=xl/tables/table3.xml><?xml version="1.0" encoding="utf-8"?>
<x:table xmlns:x="http://schemas.openxmlformats.org/spreadsheetml/2006/main" id="3" name="CatalogoCultivosTable" displayName="CatalogoCultivosTable" ref="A1:G21" headerRowCount="1">
  <x:tableColumns count="7">
    <x:tableColumn id="1" name="Cultivo_ID"/>
    <x:tableColumn id="2" name="Cultivo_Nombre"/>
    <x:tableColumn id="3" name="Tipo_Cosecha"/>
    <x:tableColumn id="4" name="Dias_Cosecha_Min"/>
    <x:tableColumn id="5" name="Dias_Cosecha_Max"/>
    <x:tableColumn id="6" name="Activo"/>
    <x:tableColumn id="7" name="Notas"/>
  </x:tableColumns>
  <x:tableStyleInfo name="TableStyleMedium2" showRowStripes="1"/>
</x:table>
</file>

<file path=xl/tables/table4.xml><?xml version="1.0" encoding="utf-8"?>
<x:table xmlns:x="http://schemas.openxmlformats.org/spreadsheetml/2006/main" id="4" name="CultivosSembradosTable" displayName="CultivosSembradosTable" ref="A1:M26" headerRowCount="1">
  <x:tableColumns count="13">
    <x:tableColumn id="1" name="Siembra_ID"/>
    <x:tableColumn id="2" name="Finca_ID"/>
    <x:tableColumn id="3" name="Unidad_ID"/>
    <x:tableColumn id="4" name="Cultivo_ID"/>
    <x:tableColumn id="5" name="Fecha_Siembra"/>
    <x:tableColumn id="6" name="Fecha_Trasplante"/>
    <x:tableColumn id="7" name="Cantidad"/>
    <x:tableColumn id="8" name="Estado_Actual"/>
    <x:tableColumn id="9" name="Fecha_Base"/>
    <x:tableColumn id="10" name="Cosecha_Min"/>
    <x:tableColumn id="11" name="Cosecha_Max"/>
    <x:tableColumn id="12" name="Estado_Ficha"/>
    <x:tableColumn id="13" name="Notas"/>
  </x:tableColumns>
  <x:tableStyleInfo name="TableStyleMedium2" showRowStripes="1"/>
</x:table>
</file>

<file path=xl/tables/table5.xml><?xml version="1.0" encoding="utf-8"?>
<x:table xmlns:x="http://schemas.openxmlformats.org/spreadsheetml/2006/main" id="5" name="VistaCultivosTable" displayName="VistaCultivosTable" ref="A1:Q26" headerRowCount="1">
  <x:tableColumns count="17">
    <x:tableColumn id="1" name="Siembra_ID"/>
    <x:tableColumn id="2" name="Finca"/>
    <x:tableColumn id="3" name="Finca_ID"/>
    <x:tableColumn id="4" name="Unidad"/>
    <x:tableColumn id="5" name="Unidad_ID"/>
    <x:tableColumn id="6" name="Estado_Unidad"/>
    <x:tableColumn id="7" name="Cultivo"/>
    <x:tableColumn id="8" name="Cultivo_ID"/>
    <x:tableColumn id="9" name="Cantidad"/>
    <x:tableColumn id="10" name="Estado_Actual"/>
    <x:tableColumn id="11" name="Fecha_Siembra"/>
    <x:tableColumn id="12" name="Fecha_Trasplante"/>
    <x:tableColumn id="13" name="Fecha_Base"/>
    <x:tableColumn id="14" name="Cosecha_Min"/>
    <x:tableColumn id="15" name="Cosecha_Max"/>
    <x:tableColumn id="16" name="Alerta_Datos"/>
    <x:tableColumn id="17" name="Mes_Cosecha"/>
  </x:tableColumns>
  <x:tableStyleInfo name="TableStyleMedium2" showRowStripes="1"/>
</x:table>
</file>

<file path=xl/tables/table6.xml><?xml version="1.0" encoding="utf-8"?>
<x:table xmlns:x="http://schemas.openxmlformats.org/spreadsheetml/2006/main" id="6" name="ListasTable" displayName="ListasTable" ref="A1:B8" headerRowCount="1">
  <x:tableColumns count="2">
    <x:tableColumn id="1" name="Lista"/>
    <x:tableColumn id="2" name="Valor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b2f9b23aff645a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af87fcfa28946d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6ae80cc640c42c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0e133099af2439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36015e448df4c1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51aaf7bf38bd4985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</x:cols>
  <x:sheetData>
    <x:row r="1">
      <x:c r="A1" s="16" t="str">
        <x:v>Hydra Q FincaOS V8</x:v>
      </x:c>
    </x:row>
    <x:row r="3">
      <x:c r="A3" s="5" t="str">
        <x:v>Métrica</x:v>
      </x:c>
      <x:c r="B3" s="5" t="str">
        <x:v>Valor</x:v>
      </x:c>
    </x:row>
    <x:row r="4">
      <x:c r="A4" t="str">
        <x:v>Cultivos activos</x:v>
      </x:c>
      <x:c r="B4" t="n">
        <x:f>COUNTIFS(VistaCultivos!H:H,"&lt;&gt;CUL_DISPONIBLE",VistaCultivos!F:F,"Activa")</x:f>
        <x:v>23</x:v>
      </x:c>
    </x:row>
    <x:row r="5">
      <x:c r="A5" t="str">
        <x:v>Camas activas</x:v>
      </x:c>
      <x:c r="B5" t="n">
        <x:f>COUNTIF(Unidades!E:E,"Activa")</x:f>
        <x:v>7</x:v>
      </x:c>
    </x:row>
    <x:row r="6">
      <x:c r="A6" t="str">
        <x:v>Espacios disponibles</x:v>
      </x:c>
      <x:c r="B6" t="n">
        <x:f>COUNTIF(VistaCultivos!H:H,"CUL_DISPONIBLE")</x:f>
        <x:v>2</x:v>
      </x:c>
    </x:row>
    <x:row r="7">
      <x:c r="A7" t="str">
        <x:v>Errores falta información</x:v>
      </x:c>
      <x:c r="B7" t="n">
        <x:f>COUNTIF(VistaCultivos!P:P,"Falta fecha")</x:f>
        <x:v>0</x:v>
      </x:c>
    </x:row>
    <x:row r="8">
      <x:c r="A8" t="str">
        <x:v>Próxima cosecha</x:v>
      </x:c>
      <x:c r="B8" s="18" t="n">
        <x:f>MIN(VistaCultivos!N:N)</x:f>
        <x:v>46092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4" hidden="0" customWidth="1"/>
    <x:col min="3" max="3" width="11" hidden="0" customWidth="1"/>
    <x:col min="4" max="4" width="10" hidden="0" customWidth="1"/>
  </x:cols>
  <x:sheetData>
    <x:row r="1">
      <x:c r="A1" s="10" t="str">
        <x:v>Finca_ID</x:v>
      </x:c>
      <x:c r="B1" s="10" t="str">
        <x:v>Finca_Nombre</x:v>
      </x:c>
      <x:c r="C1" s="10" t="str">
        <x:v>Ubicacion</x:v>
      </x:c>
      <x:c r="D1" s="10" t="str">
        <x:v>Notas</x:v>
      </x:c>
    </x:row>
    <x:row r="2">
      <x:c r="A2" s="11" t="str">
        <x:v>FIN_MORAVIA</x:v>
      </x:c>
      <x:c r="B2" s="11" t="str">
        <x:v>Moravia</x:v>
      </x:c>
      <x:c r="C2" s="11" t="str">
        <x:v>San Vicente, Moravia</x:v>
      </x:c>
      <x:c r="D2" s="11" t="str">
        <x:v>Cama de hortalizas y aromáticas</x:v>
      </x:c>
    </x:row>
    <x:row r="3">
      <x:c r="A3" s="11" t="str">
        <x:v>FIN_FRAILES</x:v>
      </x:c>
      <x:c r="B3" s="11" t="str">
        <x:v>Frailes</x:v>
      </x:c>
      <x:c r="C3" s="11" t="str">
        <x:v>Frailes, Los Santos</x:v>
      </x:c>
      <x:c r="D3" s="11" t="str">
        <x:v>Camas de rotación</x:v>
      </x:c>
    </x:row>
  </x:sheetData>
  <x:pageMargins left="0.7" right="0.7" top="0.75" bottom="0.75" header="0.3" footer="0.3"/>
  <x:tableParts count="1">
    <x:tablePart xmlns:r="http://schemas.openxmlformats.org/officeDocument/2006/relationships" r:id="Rcb2f9b23aff645a9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0" hidden="0" customWidth="1"/>
    <x:col min="3" max="3" width="15" hidden="0" customWidth="1"/>
    <x:col min="4" max="4" width="13" hidden="0" customWidth="1"/>
    <x:col min="5" max="5" width="10" hidden="0" customWidth="1"/>
    <x:col min="6" max="6" width="10" hidden="0" customWidth="1"/>
  </x:cols>
  <x:sheetData>
    <x:row r="1">
      <x:c r="A1" s="10" t="str">
        <x:v>Unidad_ID</x:v>
      </x:c>
      <x:c r="B1" s="10" t="str">
        <x:v>Finca_ID</x:v>
      </x:c>
      <x:c r="C1" s="10" t="str">
        <x:v>Unidad_Nombre</x:v>
      </x:c>
      <x:c r="D1" s="10" t="str">
        <x:v>Tipo_Unidad</x:v>
      </x:c>
      <x:c r="E1" s="10" t="str">
        <x:v>Estado</x:v>
      </x:c>
      <x:c r="F1" s="10" t="str">
        <x:v>Notas</x:v>
      </x:c>
    </x:row>
    <x:row r="2">
      <x:c r="A2" s="11" t="str">
        <x:v>UNI_MOR_CAMA_01</x:v>
      </x:c>
      <x:c r="B2" s="11" t="str">
        <x:v>FIN_MORAVIA</x:v>
      </x:c>
      <x:c r="C2" s="11" t="str">
        <x:v>Cama Moravia 1</x:v>
      </x:c>
      <x:c r="D2" s="11" t="str">
        <x:v>Cama</x:v>
      </x:c>
      <x:c r="E2" s="11" t="str">
        <x:v>Activa</x:v>
      </x:c>
      <x:c r="F2" s="11" t="str">
        <x:v>Incluye espacios disponibles</x:v>
      </x:c>
    </x:row>
    <x:row r="3">
      <x:c r="A3" s="11" t="str">
        <x:v>UNI_FRA_CAMA_01</x:v>
      </x:c>
      <x:c r="B3" s="11" t="str">
        <x:v>FIN_FRAILES</x:v>
      </x:c>
      <x:c r="C3" s="11" t="str">
        <x:v>Cama Frailes 1</x:v>
      </x:c>
      <x:c r="D3" s="11" t="str">
        <x:v>Cama</x:v>
      </x:c>
      <x:c r="E3" s="11" t="str">
        <x:v>Activa</x:v>
      </x:c>
      <x:c r="F3" s="11" t="str"/>
    </x:row>
    <x:row r="4">
      <x:c r="A4" s="11" t="str">
        <x:v>UNI_FRA_CAMA_02</x:v>
      </x:c>
      <x:c r="B4" s="11" t="str">
        <x:v>FIN_FRAILES</x:v>
      </x:c>
      <x:c r="C4" s="11" t="str">
        <x:v>Cama Frailes 2</x:v>
      </x:c>
      <x:c r="D4" s="11" t="str">
        <x:v>Cama</x:v>
      </x:c>
      <x:c r="E4" s="11" t="str">
        <x:v>Activa</x:v>
      </x:c>
      <x:c r="F4" s="11" t="str"/>
    </x:row>
    <x:row r="5">
      <x:c r="A5" s="11" t="str">
        <x:v>UNI_FRA_CAMA_03</x:v>
      </x:c>
      <x:c r="B5" s="11" t="str">
        <x:v>FIN_FRAILES</x:v>
      </x:c>
      <x:c r="C5" s="11" t="str">
        <x:v>Cama Frailes 3</x:v>
      </x:c>
      <x:c r="D5" s="11" t="str">
        <x:v>Cama</x:v>
      </x:c>
      <x:c r="E5" s="11" t="str">
        <x:v>Activa</x:v>
      </x:c>
      <x:c r="F5" s="11" t="str"/>
    </x:row>
    <x:row r="6">
      <x:c r="A6" s="11" t="str">
        <x:v>UNI_FRA_CAMA_04</x:v>
      </x:c>
      <x:c r="B6" s="11" t="str">
        <x:v>FIN_FRAILES</x:v>
      </x:c>
      <x:c r="C6" s="11" t="str">
        <x:v>Cama Frailes 4</x:v>
      </x:c>
      <x:c r="D6" s="11" t="str">
        <x:v>Cama</x:v>
      </x:c>
      <x:c r="E6" s="11" t="str">
        <x:v>No activa</x:v>
      </x:c>
      <x:c r="F6" s="11" t="str">
        <x:v>Sin cultivos activos</x:v>
      </x:c>
    </x:row>
    <x:row r="7">
      <x:c r="A7" s="11" t="str">
        <x:v>UNI_FRA_CAMA_05</x:v>
      </x:c>
      <x:c r="B7" s="11" t="str">
        <x:v>FIN_FRAILES</x:v>
      </x:c>
      <x:c r="C7" s="11" t="str">
        <x:v>Cama Frailes 5</x:v>
      </x:c>
      <x:c r="D7" s="11" t="str">
        <x:v>Cama</x:v>
      </x:c>
      <x:c r="E7" s="11" t="str">
        <x:v>Activa</x:v>
      </x:c>
      <x:c r="F7" s="11" t="str"/>
    </x:row>
    <x:row r="8">
      <x:c r="A8" s="11" t="str">
        <x:v>UNI_FRA_CAMA_06</x:v>
      </x:c>
      <x:c r="B8" s="11" t="str">
        <x:v>FIN_FRAILES</x:v>
      </x:c>
      <x:c r="C8" s="11" t="str">
        <x:v>Cama Frailes 6</x:v>
      </x:c>
      <x:c r="D8" s="11" t="str">
        <x:v>Cama</x:v>
      </x:c>
      <x:c r="E8" s="11" t="str">
        <x:v>Activa</x:v>
      </x:c>
      <x:c r="F8" s="11" t="str"/>
    </x:row>
    <x:row r="9">
      <x:c r="A9" s="11" t="str">
        <x:v>UNI_FRA_CAMA_07</x:v>
      </x:c>
      <x:c r="B9" s="11" t="str">
        <x:v>FIN_FRAILES</x:v>
      </x:c>
      <x:c r="C9" s="11" t="str">
        <x:v>Cama Frailes 7</x:v>
      </x:c>
      <x:c r="D9" s="11" t="str">
        <x:v>Cama</x:v>
      </x:c>
      <x:c r="E9" s="11" t="str">
        <x:v>Activa</x:v>
      </x:c>
      <x:c r="F9" s="11" t="str"/>
    </x:row>
  </x:sheetData>
  <x:pageMargins left="0.7" right="0.7" top="0.75" bottom="0.75" header="0.3" footer="0.3"/>
  <x:tableParts count="1">
    <x:tablePart xmlns:r="http://schemas.openxmlformats.org/officeDocument/2006/relationships" r:id="R9af87fcfa28946dd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6" hidden="0" customWidth="1"/>
    <x:col min="3" max="3" width="14" hidden="0" customWidth="1"/>
    <x:col min="4" max="4" width="18" hidden="0" customWidth="1"/>
    <x:col min="5" max="5" width="18" hidden="0" customWidth="1"/>
    <x:col min="6" max="6" width="10" hidden="0" customWidth="1"/>
    <x:col min="7" max="7" width="10" hidden="0" customWidth="1"/>
  </x:cols>
  <x:sheetData>
    <x:row r="1">
      <x:c r="A1" s="10" t="str">
        <x:v>Cultivo_ID</x:v>
      </x:c>
      <x:c r="B1" s="10" t="str">
        <x:v>Cultivo_Nombre</x:v>
      </x:c>
      <x:c r="C1" s="10" t="str">
        <x:v>Tipo_Cosecha</x:v>
      </x:c>
      <x:c r="D1" s="10" t="str">
        <x:v>Dias_Cosecha_Min</x:v>
      </x:c>
      <x:c r="E1" s="10" t="str">
        <x:v>Dias_Cosecha_Max</x:v>
      </x:c>
      <x:c r="F1" s="10" t="str">
        <x:v>Activo</x:v>
      </x:c>
      <x:c r="G1" s="10" t="str">
        <x:v>Notas</x:v>
      </x:c>
    </x:row>
    <x:row r="2">
      <x:c r="A2" s="11" t="str">
        <x:v>CUL_DISPONIBLE</x:v>
      </x:c>
      <x:c r="B2" s="11" t="str">
        <x:v>Disponible</x:v>
      </x:c>
      <x:c r="C2" s="11" t="str">
        <x:v>Placeholder</x:v>
      </x:c>
      <x:c r="D2" s="11" t="n">
        <x:v>0</x:v>
      </x:c>
      <x:c r="E2" s="11" t="n">
        <x:v>0</x:v>
      </x:c>
      <x:c r="F2" s="11" t="str">
        <x:v>Sí</x:v>
      </x:c>
      <x:c r="G2" s="11" t="str">
        <x:v>Etiqueta para espacio disponible</x:v>
      </x:c>
    </x:row>
    <x:row r="3">
      <x:c r="A3" s="11" t="str">
        <x:v>CUL_LECHUGA</x:v>
      </x:c>
      <x:c r="B3" s="11" t="str">
        <x:v>Lechuga</x:v>
      </x:c>
      <x:c r="C3" s="11" t="str">
        <x:v>Única</x:v>
      </x:c>
      <x:c r="D3" s="11" t="n">
        <x:v>35</x:v>
      </x:c>
      <x:c r="E3" s="11" t="n">
        <x:v>50</x:v>
      </x:c>
      <x:c r="F3" s="11" t="str">
        <x:v>Sí</x:v>
      </x:c>
      <x:c r="G3" s="11" t="str"/>
    </x:row>
    <x:row r="4">
      <x:c r="A4" s="11" t="str">
        <x:v>CUL_ACELGA</x:v>
      </x:c>
      <x:c r="B4" s="11" t="str">
        <x:v>Acelga</x:v>
      </x:c>
      <x:c r="C4" s="11" t="str">
        <x:v>Corte</x:v>
      </x:c>
      <x:c r="D4" s="11" t="n">
        <x:v>45</x:v>
      </x:c>
      <x:c r="E4" s="11" t="n">
        <x:v>65</x:v>
      </x:c>
      <x:c r="F4" s="11" t="str">
        <x:v>Sí</x:v>
      </x:c>
      <x:c r="G4" s="11" t="str"/>
    </x:row>
    <x:row r="5">
      <x:c r="A5" s="11" t="str">
        <x:v>CUL_PEPINO</x:v>
      </x:c>
      <x:c r="B5" s="11" t="str">
        <x:v>Pepino</x:v>
      </x:c>
      <x:c r="C5" s="11" t="str">
        <x:v>Escalonada</x:v>
      </x:c>
      <x:c r="D5" s="11" t="n">
        <x:v>45</x:v>
      </x:c>
      <x:c r="E5" s="11" t="n">
        <x:v>65</x:v>
      </x:c>
      <x:c r="F5" s="11" t="str">
        <x:v>Sí</x:v>
      </x:c>
      <x:c r="G5" s="11" t="str"/>
    </x:row>
    <x:row r="6">
      <x:c r="A6" s="11" t="str">
        <x:v>CUL_SANDIA</x:v>
      </x:c>
      <x:c r="B6" s="11" t="str">
        <x:v>Sandía</x:v>
      </x:c>
      <x:c r="C6" s="11" t="str">
        <x:v>Única</x:v>
      </x:c>
      <x:c r="D6" s="11" t="n">
        <x:v>80</x:v>
      </x:c>
      <x:c r="E6" s="11" t="n">
        <x:v>100</x:v>
      </x:c>
      <x:c r="F6" s="11" t="str">
        <x:v>Sí</x:v>
      </x:c>
      <x:c r="G6" s="11" t="str"/>
    </x:row>
    <x:row r="7">
      <x:c r="A7" s="11" t="str">
        <x:v>CUL_AYOTE</x:v>
      </x:c>
      <x:c r="B7" s="11" t="str">
        <x:v>Ayote</x:v>
      </x:c>
      <x:c r="C7" s="11" t="str">
        <x:v>Escalonada</x:v>
      </x:c>
      <x:c r="D7" s="11" t="n">
        <x:v>90</x:v>
      </x:c>
      <x:c r="E7" s="11" t="n">
        <x:v>120</x:v>
      </x:c>
      <x:c r="F7" s="11" t="str">
        <x:v>Sí</x:v>
      </x:c>
      <x:c r="G7" s="11" t="str"/>
    </x:row>
    <x:row r="8">
      <x:c r="A8" s="11" t="str">
        <x:v>CUL_ALBAHACA</x:v>
      </x:c>
      <x:c r="B8" s="11" t="str">
        <x:v>Albahaca</x:v>
      </x:c>
      <x:c r="C8" s="11" t="str">
        <x:v>Corte</x:v>
      </x:c>
      <x:c r="D8" s="11" t="n">
        <x:v>35</x:v>
      </x:c>
      <x:c r="E8" s="11" t="n">
        <x:v>50</x:v>
      </x:c>
      <x:c r="F8" s="11" t="str">
        <x:v>Sí</x:v>
      </x:c>
      <x:c r="G8" s="11" t="str"/>
    </x:row>
    <x:row r="9">
      <x:c r="A9" s="11" t="str">
        <x:v>CUL_TOMATE_CHERRY</x:v>
      </x:c>
      <x:c r="B9" s="11" t="str">
        <x:v>Tomate cherry</x:v>
      </x:c>
      <x:c r="C9" s="11" t="str">
        <x:v>Escalonada</x:v>
      </x:c>
      <x:c r="D9" s="11" t="n">
        <x:v>75</x:v>
      </x:c>
      <x:c r="E9" s="11" t="n">
        <x:v>100</x:v>
      </x:c>
      <x:c r="F9" s="11" t="str">
        <x:v>Sí</x:v>
      </x:c>
      <x:c r="G9" s="11" t="str"/>
    </x:row>
    <x:row r="10">
      <x:c r="A10" s="11" t="str">
        <x:v>CUL_CULANTRO</x:v>
      </x:c>
      <x:c r="B10" s="11" t="str">
        <x:v>Culantro</x:v>
      </x:c>
      <x:c r="C10" s="11" t="str">
        <x:v>Corte</x:v>
      </x:c>
      <x:c r="D10" s="11" t="n">
        <x:v>40</x:v>
      </x:c>
      <x:c r="E10" s="11" t="n">
        <x:v>60</x:v>
      </x:c>
      <x:c r="F10" s="11" t="str">
        <x:v>Sí</x:v>
      </x:c>
      <x:c r="G10" s="11" t="str"/>
    </x:row>
    <x:row r="11">
      <x:c r="A11" s="11" t="str">
        <x:v>CUL_CEBOLLA_BLANCA</x:v>
      </x:c>
      <x:c r="B11" s="11" t="str">
        <x:v>Cebolla blanca</x:v>
      </x:c>
      <x:c r="C11" s="11" t="str">
        <x:v>Única</x:v>
      </x:c>
      <x:c r="D11" s="11" t="n">
        <x:v>90</x:v>
      </x:c>
      <x:c r="E11" s="11" t="n">
        <x:v>120</x:v>
      </x:c>
      <x:c r="F11" s="11" t="str">
        <x:v>Sí</x:v>
      </x:c>
      <x:c r="G11" s="11" t="str"/>
    </x:row>
    <x:row r="12">
      <x:c r="A12" s="11" t="str">
        <x:v>CUL_CEBOLLA_MORADA</x:v>
      </x:c>
      <x:c r="B12" s="11" t="str">
        <x:v>Cebolla morada</x:v>
      </x:c>
      <x:c r="C12" s="11" t="str">
        <x:v>Única</x:v>
      </x:c>
      <x:c r="D12" s="11" t="n">
        <x:v>90</x:v>
      </x:c>
      <x:c r="E12" s="11" t="n">
        <x:v>120</x:v>
      </x:c>
      <x:c r="F12" s="11" t="str">
        <x:v>Sí</x:v>
      </x:c>
      <x:c r="G12" s="11" t="str"/>
    </x:row>
    <x:row r="13">
      <x:c r="A13" s="11" t="str">
        <x:v>CUL_CHILE_DULCE</x:v>
      </x:c>
      <x:c r="B13" s="11" t="str">
        <x:v>Chile dulce</x:v>
      </x:c>
      <x:c r="C13" s="11" t="str">
        <x:v>Escalonada</x:v>
      </x:c>
      <x:c r="D13" s="11" t="n">
        <x:v>75</x:v>
      </x:c>
      <x:c r="E13" s="11" t="n">
        <x:v>100</x:v>
      </x:c>
      <x:c r="F13" s="11" t="str">
        <x:v>Sí</x:v>
      </x:c>
      <x:c r="G13" s="11" t="str"/>
    </x:row>
    <x:row r="14">
      <x:c r="A14" s="11" t="str">
        <x:v>CUL_ARUGULA</x:v>
      </x:c>
      <x:c r="B14" s="11" t="str">
        <x:v>Arúgula</x:v>
      </x:c>
      <x:c r="C14" s="11" t="str">
        <x:v>Corte</x:v>
      </x:c>
      <x:c r="D14" s="11" t="n">
        <x:v>25</x:v>
      </x:c>
      <x:c r="E14" s="11" t="n">
        <x:v>40</x:v>
      </x:c>
      <x:c r="F14" s="11" t="str">
        <x:v>Sí</x:v>
      </x:c>
      <x:c r="G14" s="11" t="str"/>
    </x:row>
    <x:row r="15">
      <x:c r="A15" s="11" t="str">
        <x:v>CUL_ZUCCHINI</x:v>
      </x:c>
      <x:c r="B15" s="11" t="str">
        <x:v>Zucchini</x:v>
      </x:c>
      <x:c r="C15" s="11" t="str">
        <x:v>Escalonada</x:v>
      </x:c>
      <x:c r="D15" s="11" t="n">
        <x:v>45</x:v>
      </x:c>
      <x:c r="E15" s="11" t="n">
        <x:v>65</x:v>
      </x:c>
      <x:c r="F15" s="11" t="str">
        <x:v>Sí</x:v>
      </x:c>
      <x:c r="G15" s="11" t="str"/>
    </x:row>
    <x:row r="16">
      <x:c r="A16" s="11" t="str">
        <x:v>CUL_ZANAHORIA</x:v>
      </x:c>
      <x:c r="B16" s="11" t="str">
        <x:v>Zanahoria</x:v>
      </x:c>
      <x:c r="C16" s="11" t="str">
        <x:v>Única</x:v>
      </x:c>
      <x:c r="D16" s="11" t="n">
        <x:v>80</x:v>
      </x:c>
      <x:c r="E16" s="11" t="n">
        <x:v>110</x:v>
      </x:c>
      <x:c r="F16" s="11" t="str">
        <x:v>Sí</x:v>
      </x:c>
      <x:c r="G16" s="11" t="str"/>
    </x:row>
    <x:row r="17">
      <x:c r="A17" s="11" t="str">
        <x:v>CUL_CEBOLLINO</x:v>
      </x:c>
      <x:c r="B17" s="11" t="str">
        <x:v>Cebollino</x:v>
      </x:c>
      <x:c r="C17" s="11" t="str">
        <x:v>Corte</x:v>
      </x:c>
      <x:c r="D17" s="11" t="n">
        <x:v>60</x:v>
      </x:c>
      <x:c r="E17" s="11" t="n">
        <x:v>90</x:v>
      </x:c>
      <x:c r="F17" s="11" t="str">
        <x:v>Sí</x:v>
      </x:c>
      <x:c r="G17" s="11" t="str"/>
    </x:row>
    <x:row r="18">
      <x:c r="A18" s="11" t="str">
        <x:v>CUL_PEREJIL_ITALIANO</x:v>
      </x:c>
      <x:c r="B18" s="11" t="str">
        <x:v>Perejil italiano</x:v>
      </x:c>
      <x:c r="C18" s="11" t="str">
        <x:v>Corte</x:v>
      </x:c>
      <x:c r="D18" s="11" t="n">
        <x:v>70</x:v>
      </x:c>
      <x:c r="E18" s="11" t="n">
        <x:v>100</x:v>
      </x:c>
      <x:c r="F18" s="11" t="str">
        <x:v>Sí</x:v>
      </x:c>
      <x:c r="G18" s="11" t="str"/>
    </x:row>
    <x:row r="19">
      <x:c r="A19" s="11" t="str">
        <x:v>CUL_PEREJIL_NORMAL</x:v>
      </x:c>
      <x:c r="B19" s="11" t="str">
        <x:v>Perejil normal</x:v>
      </x:c>
      <x:c r="C19" s="11" t="str">
        <x:v>Corte</x:v>
      </x:c>
      <x:c r="D19" s="11" t="n">
        <x:v>70</x:v>
      </x:c>
      <x:c r="E19" s="11" t="n">
        <x:v>100</x:v>
      </x:c>
      <x:c r="F19" s="11" t="str">
        <x:v>Sí</x:v>
      </x:c>
      <x:c r="G19" s="11" t="str"/>
    </x:row>
    <x:row r="20">
      <x:c r="A20" s="11" t="str">
        <x:v>CUL_ESPINACA</x:v>
      </x:c>
      <x:c r="B20" s="11" t="str">
        <x:v>Espinaca</x:v>
      </x:c>
      <x:c r="C20" s="11" t="str">
        <x:v>Corte</x:v>
      </x:c>
      <x:c r="D20" s="11" t="n">
        <x:v>40</x:v>
      </x:c>
      <x:c r="E20" s="11" t="n">
        <x:v>60</x:v>
      </x:c>
      <x:c r="F20" s="11" t="str">
        <x:v>Sí</x:v>
      </x:c>
      <x:c r="G20" s="11" t="str"/>
    </x:row>
    <x:row r="21">
      <x:c r="A21" s="11" t="str">
        <x:v>CUL_APIO</x:v>
      </x:c>
      <x:c r="B21" s="11" t="str">
        <x:v>Apio</x:v>
      </x:c>
      <x:c r="C21" s="11" t="str">
        <x:v>Corte</x:v>
      </x:c>
      <x:c r="D21" s="11" t="n">
        <x:v>90</x:v>
      </x:c>
      <x:c r="E21" s="11" t="n">
        <x:v>120</x:v>
      </x:c>
      <x:c r="F21" s="11" t="str">
        <x:v>Sí</x:v>
      </x:c>
      <x:c r="G21" s="11" t="str"/>
    </x:row>
  </x:sheetData>
  <x:pageMargins left="0.7" right="0.7" top="0.75" bottom="0.75" header="0.3" footer="0.3"/>
  <x:tableParts count="1">
    <x:tablePart xmlns:r="http://schemas.openxmlformats.org/officeDocument/2006/relationships" r:id="R06ae80cc640c42cc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11" hidden="0" customWidth="1"/>
    <x:col min="4" max="4" width="12" hidden="0" customWidth="1"/>
    <x:col min="5" max="5" width="15" hidden="0" customWidth="1"/>
    <x:col min="6" max="6" width="18" hidden="0" customWidth="1"/>
    <x:col min="7" max="7" width="10" hidden="0" customWidth="1"/>
    <x:col min="8" max="8" width="15" hidden="0" customWidth="1"/>
    <x:col min="9" max="9" width="12" hidden="0" customWidth="1"/>
    <x:col min="10" max="10" width="13" hidden="0" customWidth="1"/>
    <x:col min="11" max="11" width="13" hidden="0" customWidth="1"/>
    <x:col min="12" max="12" width="14" hidden="0" customWidth="1"/>
    <x:col min="13" max="13" width="10" hidden="0" customWidth="1"/>
  </x:cols>
  <x:sheetData>
    <x:row r="1">
      <x:c r="A1" s="10" t="str">
        <x:v>Siembra_ID</x:v>
      </x:c>
      <x:c r="B1" s="10" t="str">
        <x:v>Finca_ID</x:v>
      </x:c>
      <x:c r="C1" s="10" t="str">
        <x:v>Unidad_ID</x:v>
      </x:c>
      <x:c r="D1" s="10" t="str">
        <x:v>Cultivo_ID</x:v>
      </x:c>
      <x:c r="E1" s="10" t="str">
        <x:v>Fecha_Siembra</x:v>
      </x:c>
      <x:c r="F1" s="10" t="str">
        <x:v>Fecha_Trasplante</x:v>
      </x:c>
      <x:c r="G1" s="10" t="str">
        <x:v>Cantidad</x:v>
      </x:c>
      <x:c r="H1" s="10" t="str">
        <x:v>Estado_Actual</x:v>
      </x:c>
      <x:c r="I1" s="10" t="str">
        <x:v>Fecha_Base</x:v>
      </x:c>
      <x:c r="J1" s="10" t="str">
        <x:v>Cosecha_Min</x:v>
      </x:c>
      <x:c r="K1" s="10" t="str">
        <x:v>Cosecha_Max</x:v>
      </x:c>
      <x:c r="L1" s="10" t="str">
        <x:v>Estado_Ficha</x:v>
      </x:c>
      <x:c r="M1" s="10" t="str">
        <x:v>Notas</x:v>
      </x:c>
    </x:row>
    <x:row r="2">
      <x:c r="A2" s="11" t="str">
        <x:v>SIE_MOR_001</x:v>
      </x:c>
      <x:c r="B2" s="11" t="str">
        <x:v>FIN_MORAVIA</x:v>
      </x:c>
      <x:c r="C2" s="11" t="str">
        <x:v>UNI_MOR_CAMA_01</x:v>
      </x:c>
      <x:c r="D2" s="11" t="str">
        <x:v>CUL_LECHUGA</x:v>
      </x:c>
      <x:c r="E2" s="14" t="n">
        <x:v>46128</x:v>
      </x:c>
      <x:c r="F2" s="14"/>
      <x:c r="G2" s="11" t="n">
        <x:v>10</x:v>
      </x:c>
      <x:c r="H2" s="11" t="str">
        <x:v>Crecimiento</x:v>
      </x:c>
      <x:c r="I2" s="14" t="n">
        <x:v>46128</x:v>
      </x:c>
      <x:c r="J2" s="14" t="n">
        <x:v>46163</x:v>
      </x:c>
      <x:c r="K2" s="14" t="n">
        <x:v>46178</x:v>
      </x:c>
      <x:c r="L2" s="11" t="str">
        <x:v>Completa</x:v>
      </x:c>
      <x:c r="M2" s="11" t="str"/>
    </x:row>
    <x:row r="3">
      <x:c r="A3" s="11" t="str">
        <x:v>SIE_MOR_002</x:v>
      </x:c>
      <x:c r="B3" s="11" t="str">
        <x:v>FIN_MORAVIA</x:v>
      </x:c>
      <x:c r="C3" s="11" t="str">
        <x:v>UNI_MOR_CAMA_01</x:v>
      </x:c>
      <x:c r="D3" s="11" t="str">
        <x:v>CUL_CEBOLLINO</x:v>
      </x:c>
      <x:c r="E3" s="14" t="n">
        <x:v>46032</x:v>
      </x:c>
      <x:c r="F3" s="14"/>
      <x:c r="G3" s="11" t="n">
        <x:v>1</x:v>
      </x:c>
      <x:c r="H3" s="11" t="str">
        <x:v>Crecimiento</x:v>
      </x:c>
      <x:c r="I3" s="14" t="n">
        <x:v>46032</x:v>
      </x:c>
      <x:c r="J3" s="14" t="n">
        <x:v>46092</x:v>
      </x:c>
      <x:c r="K3" s="14" t="n">
        <x:v>46122</x:v>
      </x:c>
      <x:c r="L3" s="11" t="str">
        <x:v>Completa</x:v>
      </x:c>
      <x:c r="M3" s="11" t="str"/>
    </x:row>
    <x:row r="4">
      <x:c r="A4" s="11" t="str">
        <x:v>SIE_MOR_003</x:v>
      </x:c>
      <x:c r="B4" s="11" t="str">
        <x:v>FIN_MORAVIA</x:v>
      </x:c>
      <x:c r="C4" s="11" t="str">
        <x:v>UNI_MOR_CAMA_01</x:v>
      </x:c>
      <x:c r="D4" s="11" t="str">
        <x:v>CUL_TOMATE_CHERRY</x:v>
      </x:c>
      <x:c r="E4" s="14" t="n">
        <x:v>46128</x:v>
      </x:c>
      <x:c r="F4" s="14"/>
      <x:c r="G4" s="11" t="n">
        <x:v>1</x:v>
      </x:c>
      <x:c r="H4" s="11" t="str">
        <x:v>Floración</x:v>
      </x:c>
      <x:c r="I4" s="14" t="n">
        <x:v>46128</x:v>
      </x:c>
      <x:c r="J4" s="14" t="n">
        <x:v>46203</x:v>
      </x:c>
      <x:c r="K4" s="14" t="n">
        <x:v>46228</x:v>
      </x:c>
      <x:c r="L4" s="11" t="str">
        <x:v>Completa</x:v>
      </x:c>
      <x:c r="M4" s="11" t="str"/>
    </x:row>
    <x:row r="5">
      <x:c r="A5" s="11" t="str">
        <x:v>SIE_MOR_004</x:v>
      </x:c>
      <x:c r="B5" s="11" t="str">
        <x:v>FIN_MORAVIA</x:v>
      </x:c>
      <x:c r="C5" s="11" t="str">
        <x:v>UNI_MOR_CAMA_01</x:v>
      </x:c>
      <x:c r="D5" s="11" t="str">
        <x:v>CUL_PEREJIL_ITALIANO</x:v>
      </x:c>
      <x:c r="E5" s="14" t="n">
        <x:v>46032</x:v>
      </x:c>
      <x:c r="F5" s="14"/>
      <x:c r="G5" s="11" t="n">
        <x:v>1</x:v>
      </x:c>
      <x:c r="H5" s="11" t="str">
        <x:v>Crecimiento</x:v>
      </x:c>
      <x:c r="I5" s="14" t="n">
        <x:v>46032</x:v>
      </x:c>
      <x:c r="J5" s="14" t="n">
        <x:v>46102</x:v>
      </x:c>
      <x:c r="K5" s="14" t="n">
        <x:v>46132</x:v>
      </x:c>
      <x:c r="L5" s="11" t="str">
        <x:v>Completa</x:v>
      </x:c>
      <x:c r="M5" s="11" t="str"/>
    </x:row>
    <x:row r="6">
      <x:c r="A6" s="11" t="str">
        <x:v>SIE_MOR_005</x:v>
      </x:c>
      <x:c r="B6" s="11" t="str">
        <x:v>FIN_MORAVIA</x:v>
      </x:c>
      <x:c r="C6" s="11" t="str">
        <x:v>UNI_MOR_CAMA_01</x:v>
      </x:c>
      <x:c r="D6" s="11" t="str">
        <x:v>CUL_PEREJIL_NORMAL</x:v>
      </x:c>
      <x:c r="E6" s="14" t="n">
        <x:v>46032</x:v>
      </x:c>
      <x:c r="F6" s="14"/>
      <x:c r="G6" s="11" t="n">
        <x:v>1</x:v>
      </x:c>
      <x:c r="H6" s="11" t="str">
        <x:v>Crecimiento</x:v>
      </x:c>
      <x:c r="I6" s="14" t="n">
        <x:v>46032</x:v>
      </x:c>
      <x:c r="J6" s="14" t="n">
        <x:v>46102</x:v>
      </x:c>
      <x:c r="K6" s="14" t="n">
        <x:v>46132</x:v>
      </x:c>
      <x:c r="L6" s="11" t="str">
        <x:v>Completa</x:v>
      </x:c>
      <x:c r="M6" s="11" t="str"/>
    </x:row>
    <x:row r="7">
      <x:c r="A7" s="11" t="str">
        <x:v>SIE_MOR_006</x:v>
      </x:c>
      <x:c r="B7" s="11" t="str">
        <x:v>FIN_MORAVIA</x:v>
      </x:c>
      <x:c r="C7" s="11" t="str">
        <x:v>UNI_MOR_CAMA_01</x:v>
      </x:c>
      <x:c r="D7" s="11" t="str">
        <x:v>CUL_ESPINACA</x:v>
      </x:c>
      <x:c r="E7" s="14" t="n">
        <x:v>46128</x:v>
      </x:c>
      <x:c r="F7" s="14"/>
      <x:c r="G7" s="11" t="n">
        <x:v>1</x:v>
      </x:c>
      <x:c r="H7" s="11" t="str">
        <x:v>Crecimiento</x:v>
      </x:c>
      <x:c r="I7" s="14" t="n">
        <x:v>46128</x:v>
      </x:c>
      <x:c r="J7" s="14" t="n">
        <x:v>46168</x:v>
      </x:c>
      <x:c r="K7" s="14" t="n">
        <x:v>46188</x:v>
      </x:c>
      <x:c r="L7" s="11" t="str">
        <x:v>Completa</x:v>
      </x:c>
      <x:c r="M7" s="11" t="str"/>
    </x:row>
    <x:row r="8">
      <x:c r="A8" s="11" t="str">
        <x:v>SIE_MOR_007</x:v>
      </x:c>
      <x:c r="B8" s="11" t="str">
        <x:v>FIN_MORAVIA</x:v>
      </x:c>
      <x:c r="C8" s="11" t="str">
        <x:v>UNI_MOR_CAMA_01</x:v>
      </x:c>
      <x:c r="D8" s="11" t="str">
        <x:v>CUL_APIO</x:v>
      </x:c>
      <x:c r="E8" s="14" t="n">
        <x:v>46101</x:v>
      </x:c>
      <x:c r="F8" s="14"/>
      <x:c r="G8" s="11" t="n">
        <x:v>1</x:v>
      </x:c>
      <x:c r="H8" s="11" t="str">
        <x:v>Crecimiento</x:v>
      </x:c>
      <x:c r="I8" s="14" t="n">
        <x:v>46101</x:v>
      </x:c>
      <x:c r="J8" s="14" t="n">
        <x:v>46191</x:v>
      </x:c>
      <x:c r="K8" s="14" t="n">
        <x:v>46221</x:v>
      </x:c>
      <x:c r="L8" s="11" t="str">
        <x:v>Completa</x:v>
      </x:c>
      <x:c r="M8" s="11" t="str"/>
    </x:row>
    <x:row r="9">
      <x:c r="A9" s="11" t="str">
        <x:v>SIE_MOR_008</x:v>
      </x:c>
      <x:c r="B9" s="11" t="str">
        <x:v>FIN_MORAVIA</x:v>
      </x:c>
      <x:c r="C9" s="11" t="str">
        <x:v>UNI_MOR_CAMA_01</x:v>
      </x:c>
      <x:c r="D9" s="11" t="str">
        <x:v>CUL_DISPONIBLE</x:v>
      </x:c>
      <x:c r="E9" s="14"/>
      <x:c r="F9" s="14"/>
      <x:c r="G9" s="11" t="n">
        <x:v>1</x:v>
      </x:c>
      <x:c r="H9" s="11" t="str">
        <x:v>Disponible</x:v>
      </x:c>
      <x:c r="I9" s="14"/>
      <x:c r="J9" s="14"/>
      <x:c r="K9" s="14"/>
      <x:c r="L9" s="11" t="str">
        <x:v>Completa</x:v>
      </x:c>
      <x:c r="M9" s="11" t="str">
        <x:v>Espacio disponible</x:v>
      </x:c>
    </x:row>
    <x:row r="10">
      <x:c r="A10" s="11" t="str">
        <x:v>SIE_FRA_001</x:v>
      </x:c>
      <x:c r="B10" s="11" t="str">
        <x:v>FIN_FRAILES</x:v>
      </x:c>
      <x:c r="C10" s="11" t="str">
        <x:v>UNI_FRA_CAMA_01</x:v>
      </x:c>
      <x:c r="D10" s="11" t="str">
        <x:v>CUL_LECHUGA</x:v>
      </x:c>
      <x:c r="E10" s="14"/>
      <x:c r="F10" s="14" t="n">
        <x:v>46137</x:v>
      </x:c>
      <x:c r="G10" s="11" t="n">
        <x:v>9</x:v>
      </x:c>
      <x:c r="H10" s="11" t="str">
        <x:v>Crecimiento</x:v>
      </x:c>
      <x:c r="I10" s="14" t="n">
        <x:v>46137</x:v>
      </x:c>
      <x:c r="J10" s="14" t="n">
        <x:v>46172</x:v>
      </x:c>
      <x:c r="K10" s="14" t="n">
        <x:v>46187</x:v>
      </x:c>
      <x:c r="L10" s="11" t="str">
        <x:v>Completa</x:v>
      </x:c>
      <x:c r="M10" s="11" t="str"/>
    </x:row>
    <x:row r="11">
      <x:c r="A11" s="11" t="str">
        <x:v>SIE_FRA_002</x:v>
      </x:c>
      <x:c r="B11" s="11" t="str">
        <x:v>FIN_FRAILES</x:v>
      </x:c>
      <x:c r="C11" s="11" t="str">
        <x:v>UNI_FRA_CAMA_01</x:v>
      </x:c>
      <x:c r="D11" s="11" t="str">
        <x:v>CUL_ACELGA</x:v>
      </x:c>
      <x:c r="E11" s="14"/>
      <x:c r="F11" s="14" t="n">
        <x:v>46172</x:v>
      </x:c>
      <x:c r="G11" s="11" t="n">
        <x:v>5</x:v>
      </x:c>
      <x:c r="H11" s="11" t="str">
        <x:v>Crecimiento</x:v>
      </x:c>
      <x:c r="I11" s="14" t="n">
        <x:v>46172</x:v>
      </x:c>
      <x:c r="J11" s="14" t="n">
        <x:v>46217</x:v>
      </x:c>
      <x:c r="K11" s="14" t="n">
        <x:v>46237</x:v>
      </x:c>
      <x:c r="L11" s="11" t="str">
        <x:v>Completa</x:v>
      </x:c>
      <x:c r="M11" s="11" t="str"/>
    </x:row>
    <x:row r="12">
      <x:c r="A12" s="11" t="str">
        <x:v>SIE_FRA_003</x:v>
      </x:c>
      <x:c r="B12" s="11" t="str">
        <x:v>FIN_FRAILES</x:v>
      </x:c>
      <x:c r="C12" s="11" t="str">
        <x:v>UNI_FRA_CAMA_01</x:v>
      </x:c>
      <x:c r="D12" s="11" t="str">
        <x:v>CUL_PEPINO</x:v>
      </x:c>
      <x:c r="E12" s="14"/>
      <x:c r="F12" s="14" t="n">
        <x:v>46137</x:v>
      </x:c>
      <x:c r="G12" s="11" t="n">
        <x:v>2</x:v>
      </x:c>
      <x:c r="H12" s="11" t="str">
        <x:v>Floración</x:v>
      </x:c>
      <x:c r="I12" s="14" t="n">
        <x:v>46137</x:v>
      </x:c>
      <x:c r="J12" s="14" t="n">
        <x:v>46182</x:v>
      </x:c>
      <x:c r="K12" s="14" t="n">
        <x:v>46202</x:v>
      </x:c>
      <x:c r="L12" s="11" t="str">
        <x:v>Completa</x:v>
      </x:c>
      <x:c r="M12" s="11" t="str"/>
    </x:row>
    <x:row r="13">
      <x:c r="A13" s="11" t="str">
        <x:v>SIE_FRA_004</x:v>
      </x:c>
      <x:c r="B13" s="11" t="str">
        <x:v>FIN_FRAILES</x:v>
      </x:c>
      <x:c r="C13" s="11" t="str">
        <x:v>UNI_FRA_CAMA_01</x:v>
      </x:c>
      <x:c r="D13" s="11" t="str">
        <x:v>CUL_SANDIA</x:v>
      </x:c>
      <x:c r="E13" s="14"/>
      <x:c r="F13" s="14" t="n">
        <x:v>46137</x:v>
      </x:c>
      <x:c r="G13" s="11" t="n">
        <x:v>2</x:v>
      </x:c>
      <x:c r="H13" s="11" t="str">
        <x:v>Crecimiento</x:v>
      </x:c>
      <x:c r="I13" s="14" t="n">
        <x:v>46137</x:v>
      </x:c>
      <x:c r="J13" s="14" t="n">
        <x:v>46217</x:v>
      </x:c>
      <x:c r="K13" s="14" t="n">
        <x:v>46237</x:v>
      </x:c>
      <x:c r="L13" s="11" t="str">
        <x:v>Completa</x:v>
      </x:c>
      <x:c r="M13" s="11" t="str"/>
    </x:row>
    <x:row r="14">
      <x:c r="A14" s="11" t="str">
        <x:v>SIE_FRA_005</x:v>
      </x:c>
      <x:c r="B14" s="11" t="str">
        <x:v>FIN_FRAILES</x:v>
      </x:c>
      <x:c r="C14" s="11" t="str">
        <x:v>UNI_FRA_CAMA_01</x:v>
      </x:c>
      <x:c r="D14" s="11" t="str">
        <x:v>CUL_AYOTE</x:v>
      </x:c>
      <x:c r="E14" s="14"/>
      <x:c r="F14" s="14" t="n">
        <x:v>46137</x:v>
      </x:c>
      <x:c r="G14" s="11" t="n">
        <x:v>1</x:v>
      </x:c>
      <x:c r="H14" s="11" t="str">
        <x:v>Crecimiento</x:v>
      </x:c>
      <x:c r="I14" s="14" t="n">
        <x:v>46137</x:v>
      </x:c>
      <x:c r="J14" s="14" t="n">
        <x:v>46227</x:v>
      </x:c>
      <x:c r="K14" s="14" t="n">
        <x:v>46257</x:v>
      </x:c>
      <x:c r="L14" s="11" t="str">
        <x:v>Completa</x:v>
      </x:c>
      <x:c r="M14" s="11" t="str"/>
    </x:row>
    <x:row r="15">
      <x:c r="A15" s="11" t="str">
        <x:v>SIE_FRA_006</x:v>
      </x:c>
      <x:c r="B15" s="11" t="str">
        <x:v>FIN_FRAILES</x:v>
      </x:c>
      <x:c r="C15" s="11" t="str">
        <x:v>UNI_FRA_CAMA_01</x:v>
      </x:c>
      <x:c r="D15" s="11" t="str">
        <x:v>CUL_ALBAHACA</x:v>
      </x:c>
      <x:c r="E15" s="14"/>
      <x:c r="F15" s="14" t="n">
        <x:v>46137</x:v>
      </x:c>
      <x:c r="G15" s="11" t="n">
        <x:v>1</x:v>
      </x:c>
      <x:c r="H15" s="11" t="str">
        <x:v>Crecimiento</x:v>
      </x:c>
      <x:c r="I15" s="14" t="n">
        <x:v>46137</x:v>
      </x:c>
      <x:c r="J15" s="14" t="n">
        <x:v>46172</x:v>
      </x:c>
      <x:c r="K15" s="14" t="n">
        <x:v>46187</x:v>
      </x:c>
      <x:c r="L15" s="11" t="str">
        <x:v>Completa</x:v>
      </x:c>
      <x:c r="M15" s="11" t="str"/>
    </x:row>
    <x:row r="16">
      <x:c r="A16" s="11" t="str">
        <x:v>SIE_FRA_007</x:v>
      </x:c>
      <x:c r="B16" s="11" t="str">
        <x:v>FIN_FRAILES</x:v>
      </x:c>
      <x:c r="C16" s="11" t="str">
        <x:v>UNI_FRA_CAMA_02</x:v>
      </x:c>
      <x:c r="D16" s="11" t="str">
        <x:v>CUL_TOMATE_CHERRY</x:v>
      </x:c>
      <x:c r="E16" s="14" t="n">
        <x:v>46137</x:v>
      </x:c>
      <x:c r="F16" s="14"/>
      <x:c r="G16" s="11" t="n">
        <x:v>6</x:v>
      </x:c>
      <x:c r="H16" s="11" t="str">
        <x:v>Crecimiento</x:v>
      </x:c>
      <x:c r="I16" s="14" t="n">
        <x:v>46137</x:v>
      </x:c>
      <x:c r="J16" s="14" t="n">
        <x:v>46212</x:v>
      </x:c>
      <x:c r="K16" s="14" t="n">
        <x:v>46237</x:v>
      </x:c>
      <x:c r="L16" s="11" t="str">
        <x:v>Completa</x:v>
      </x:c>
      <x:c r="M16" s="11" t="str"/>
    </x:row>
    <x:row r="17">
      <x:c r="A17" s="11" t="str">
        <x:v>SIE_FRA_008</x:v>
      </x:c>
      <x:c r="B17" s="11" t="str">
        <x:v>FIN_FRAILES</x:v>
      </x:c>
      <x:c r="C17" s="11" t="str">
        <x:v>UNI_FRA_CAMA_02</x:v>
      </x:c>
      <x:c r="D17" s="11" t="str">
        <x:v>CUL_CULANTRO</x:v>
      </x:c>
      <x:c r="E17" s="14" t="n">
        <x:v>46172</x:v>
      </x:c>
      <x:c r="F17" s="14"/>
      <x:c r="G17" s="11" t="n">
        <x:v>20</x:v>
      </x:c>
      <x:c r="H17" s="11" t="str">
        <x:v>Crecimiento</x:v>
      </x:c>
      <x:c r="I17" s="14" t="n">
        <x:v>46172</x:v>
      </x:c>
      <x:c r="J17" s="14" t="n">
        <x:v>46212</x:v>
      </x:c>
      <x:c r="K17" s="14" t="n">
        <x:v>46232</x:v>
      </x:c>
      <x:c r="L17" s="11" t="str">
        <x:v>Completa</x:v>
      </x:c>
      <x:c r="M17" s="11" t="str"/>
    </x:row>
    <x:row r="18">
      <x:c r="A18" s="11" t="str">
        <x:v>SIE_FRA_009</x:v>
      </x:c>
      <x:c r="B18" s="11" t="str">
        <x:v>FIN_FRAILES</x:v>
      </x:c>
      <x:c r="C18" s="11" t="str">
        <x:v>UNI_FRA_CAMA_02</x:v>
      </x:c>
      <x:c r="D18" s="11" t="str">
        <x:v>CUL_CEBOLLA_BLANCA</x:v>
      </x:c>
      <x:c r="E18" s="14" t="n">
        <x:v>46137</x:v>
      </x:c>
      <x:c r="F18" s="14" t="n">
        <x:v>46137</x:v>
      </x:c>
      <x:c r="G18" s="11" t="n">
        <x:v>50</x:v>
      </x:c>
      <x:c r="H18" s="11" t="str">
        <x:v>Crecimiento</x:v>
      </x:c>
      <x:c r="I18" s="14" t="n">
        <x:v>46137</x:v>
      </x:c>
      <x:c r="J18" s="14" t="n">
        <x:v>46227</x:v>
      </x:c>
      <x:c r="K18" s="14" t="n">
        <x:v>46257</x:v>
      </x:c>
      <x:c r="L18" s="11" t="str">
        <x:v>Completa</x:v>
      </x:c>
      <x:c r="M18" s="11" t="str"/>
    </x:row>
    <x:row r="19">
      <x:c r="A19" s="11" t="str">
        <x:v>SIE_FRA_010</x:v>
      </x:c>
      <x:c r="B19" s="11" t="str">
        <x:v>FIN_FRAILES</x:v>
      </x:c>
      <x:c r="C19" s="11" t="str">
        <x:v>UNI_FRA_CAMA_03</x:v>
      </x:c>
      <x:c r="D19" s="11" t="str">
        <x:v>CUL_TOMATE_CHERRY</x:v>
      </x:c>
      <x:c r="E19" s="14" t="n">
        <x:v>46137</x:v>
      </x:c>
      <x:c r="F19" s="14"/>
      <x:c r="G19" s="11" t="n">
        <x:v>6</x:v>
      </x:c>
      <x:c r="H19" s="11" t="str">
        <x:v>Crecimiento</x:v>
      </x:c>
      <x:c r="I19" s="14" t="n">
        <x:v>46137</x:v>
      </x:c>
      <x:c r="J19" s="14" t="n">
        <x:v>46212</x:v>
      </x:c>
      <x:c r="K19" s="14" t="n">
        <x:v>46237</x:v>
      </x:c>
      <x:c r="L19" s="11" t="str">
        <x:v>Completa</x:v>
      </x:c>
      <x:c r="M19" s="11" t="str"/>
    </x:row>
    <x:row r="20">
      <x:c r="A20" s="11" t="str">
        <x:v>SIE_FRA_011</x:v>
      </x:c>
      <x:c r="B20" s="11" t="str">
        <x:v>FIN_FRAILES</x:v>
      </x:c>
      <x:c r="C20" s="11" t="str">
        <x:v>UNI_FRA_CAMA_03</x:v>
      </x:c>
      <x:c r="D20" s="11" t="str">
        <x:v>CUL_CULANTRO</x:v>
      </x:c>
      <x:c r="E20" s="14" t="n">
        <x:v>46137</x:v>
      </x:c>
      <x:c r="F20" s="14"/>
      <x:c r="G20" s="11" t="n">
        <x:v>40</x:v>
      </x:c>
      <x:c r="H20" s="11" t="str">
        <x:v>Crecimiento</x:v>
      </x:c>
      <x:c r="I20" s="14" t="n">
        <x:v>46137</x:v>
      </x:c>
      <x:c r="J20" s="14" t="n">
        <x:v>46177</x:v>
      </x:c>
      <x:c r="K20" s="14" t="n">
        <x:v>46197</x:v>
      </x:c>
      <x:c r="L20" s="11" t="str">
        <x:v>Completa</x:v>
      </x:c>
      <x:c r="M20" s="11" t="str"/>
    </x:row>
    <x:row r="21">
      <x:c r="A21" s="11" t="str">
        <x:v>SIE_FRA_012</x:v>
      </x:c>
      <x:c r="B21" s="11" t="str">
        <x:v>FIN_FRAILES</x:v>
      </x:c>
      <x:c r="C21" s="11" t="str">
        <x:v>UNI_FRA_CAMA_03</x:v>
      </x:c>
      <x:c r="D21" s="11" t="str">
        <x:v>CUL_CHILE_DULCE</x:v>
      </x:c>
      <x:c r="E21" s="14" t="n">
        <x:v>46137</x:v>
      </x:c>
      <x:c r="F21" s="14"/>
      <x:c r="G21" s="11" t="n">
        <x:v>6</x:v>
      </x:c>
      <x:c r="H21" s="11" t="str">
        <x:v>Crecimiento</x:v>
      </x:c>
      <x:c r="I21" s="14" t="n">
        <x:v>46137</x:v>
      </x:c>
      <x:c r="J21" s="14" t="n">
        <x:v>46212</x:v>
      </x:c>
      <x:c r="K21" s="14" t="n">
        <x:v>46237</x:v>
      </x:c>
      <x:c r="L21" s="11" t="str">
        <x:v>Completa</x:v>
      </x:c>
      <x:c r="M21" s="11" t="str"/>
    </x:row>
    <x:row r="22">
      <x:c r="A22" s="11" t="str">
        <x:v>SIE_FRA_013</x:v>
      </x:c>
      <x:c r="B22" s="11" t="str">
        <x:v>FIN_FRAILES</x:v>
      </x:c>
      <x:c r="C22" s="11" t="str">
        <x:v>UNI_FRA_CAMA_05</x:v>
      </x:c>
      <x:c r="D22" s="11" t="str">
        <x:v>CUL_CEBOLLA_MORADA</x:v>
      </x:c>
      <x:c r="E22" s="14" t="n">
        <x:v>46172</x:v>
      </x:c>
      <x:c r="F22" s="14" t="n">
        <x:v>46172</x:v>
      </x:c>
      <x:c r="G22" s="11" t="n">
        <x:v>50</x:v>
      </x:c>
      <x:c r="H22" s="11" t="str">
        <x:v>Crecimiento</x:v>
      </x:c>
      <x:c r="I22" s="14" t="n">
        <x:v>46172</x:v>
      </x:c>
      <x:c r="J22" s="14" t="n">
        <x:v>46262</x:v>
      </x:c>
      <x:c r="K22" s="14" t="n">
        <x:v>46292</x:v>
      </x:c>
      <x:c r="L22" s="11" t="str">
        <x:v>Completa</x:v>
      </x:c>
      <x:c r="M22" s="11" t="str"/>
    </x:row>
    <x:row r="23">
      <x:c r="A23" s="11" t="str">
        <x:v>SIE_FRA_014</x:v>
      </x:c>
      <x:c r="B23" s="11" t="str">
        <x:v>FIN_FRAILES</x:v>
      </x:c>
      <x:c r="C23" s="11" t="str">
        <x:v>UNI_FRA_CAMA_05</x:v>
      </x:c>
      <x:c r="D23" s="11" t="str">
        <x:v>CUL_ARUGULA</x:v>
      </x:c>
      <x:c r="E23" s="14" t="n">
        <x:v>46172</x:v>
      </x:c>
      <x:c r="F23" s="14"/>
      <x:c r="G23" s="11" t="n">
        <x:v>6</x:v>
      </x:c>
      <x:c r="H23" s="11" t="str">
        <x:v>Crecimiento</x:v>
      </x:c>
      <x:c r="I23" s="14" t="n">
        <x:v>46172</x:v>
      </x:c>
      <x:c r="J23" s="14" t="n">
        <x:v>46197</x:v>
      </x:c>
      <x:c r="K23" s="14" t="n">
        <x:v>46212</x:v>
      </x:c>
      <x:c r="L23" s="11" t="str">
        <x:v>Completa</x:v>
      </x:c>
      <x:c r="M23" s="11" t="str"/>
    </x:row>
    <x:row r="24">
      <x:c r="A24" s="11" t="str">
        <x:v>SIE_FRA_015</x:v>
      </x:c>
      <x:c r="B24" s="11" t="str">
        <x:v>FIN_FRAILES</x:v>
      </x:c>
      <x:c r="C24" s="11" t="str">
        <x:v>UNI_FRA_CAMA_05</x:v>
      </x:c>
      <x:c r="D24" s="11" t="str">
        <x:v>CUL_DISPONIBLE</x:v>
      </x:c>
      <x:c r="E24" s="14"/>
      <x:c r="F24" s="14"/>
      <x:c r="G24" s="11" t="n">
        <x:v>1</x:v>
      </x:c>
      <x:c r="H24" s="11" t="str">
        <x:v>Disponible</x:v>
      </x:c>
      <x:c r="I24" s="14"/>
      <x:c r="J24" s="14"/>
      <x:c r="K24" s="14"/>
      <x:c r="L24" s="11" t="str">
        <x:v>Completa</x:v>
      </x:c>
      <x:c r="M24" s="11" t="str">
        <x:v>Espacio disponible</x:v>
      </x:c>
    </x:row>
    <x:row r="25">
      <x:c r="A25" s="11" t="str">
        <x:v>SIE_FRA_016</x:v>
      </x:c>
      <x:c r="B25" s="11" t="str">
        <x:v>FIN_FRAILES</x:v>
      </x:c>
      <x:c r="C25" s="11" t="str">
        <x:v>UNI_FRA_CAMA_06</x:v>
      </x:c>
      <x:c r="D25" s="11" t="str">
        <x:v>CUL_ZUCCHINI</x:v>
      </x:c>
      <x:c r="E25" s="14" t="n">
        <x:v>46137</x:v>
      </x:c>
      <x:c r="F25" s="14"/>
      <x:c r="G25" s="11" t="n">
        <x:v>8</x:v>
      </x:c>
      <x:c r="H25" s="11" t="str">
        <x:v>Crecimiento</x:v>
      </x:c>
      <x:c r="I25" s="14" t="n">
        <x:v>46137</x:v>
      </x:c>
      <x:c r="J25" s="14" t="n">
        <x:v>46182</x:v>
      </x:c>
      <x:c r="K25" s="14" t="n">
        <x:v>46202</x:v>
      </x:c>
      <x:c r="L25" s="11" t="str">
        <x:v>Completa</x:v>
      </x:c>
      <x:c r="M25" s="11" t="str"/>
    </x:row>
    <x:row r="26">
      <x:c r="A26" s="11" t="str">
        <x:v>SIE_FRA_017</x:v>
      </x:c>
      <x:c r="B26" s="11" t="str">
        <x:v>FIN_FRAILES</x:v>
      </x:c>
      <x:c r="C26" s="11" t="str">
        <x:v>UNI_FRA_CAMA_07</x:v>
      </x:c>
      <x:c r="D26" s="11" t="str">
        <x:v>CUL_ZANAHORIA</x:v>
      </x:c>
      <x:c r="E26" s="14" t="n">
        <x:v>46152</x:v>
      </x:c>
      <x:c r="F26" s="14"/>
      <x:c r="G26" s="11" t="n">
        <x:v>35</x:v>
      </x:c>
      <x:c r="H26" s="11" t="str">
        <x:v>Crecimiento</x:v>
      </x:c>
      <x:c r="I26" s="14" t="n">
        <x:v>46152</x:v>
      </x:c>
      <x:c r="J26" s="14" t="n">
        <x:v>46232</x:v>
      </x:c>
      <x:c r="K26" s="14" t="n">
        <x:v>46262</x:v>
      </x:c>
      <x:c r="L26" s="11" t="str">
        <x:v>Completa</x:v>
      </x:c>
      <x:c r="M26" s="11" t="str"/>
    </x:row>
  </x:sheetData>
  <x:pageMargins left="0.7" right="0.7" top="0.75" bottom="0.75" header="0.3" footer="0.3"/>
  <x:tableParts count="1">
    <x:tablePart xmlns:r="http://schemas.openxmlformats.org/officeDocument/2006/relationships" r:id="Rf0e133099af24394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10" hidden="0" customWidth="1"/>
    <x:col min="4" max="4" width="10" hidden="0" customWidth="1"/>
    <x:col min="5" max="5" width="11" hidden="0" customWidth="1"/>
    <x:col min="6" max="6" width="15" hidden="0" customWidth="1"/>
    <x:col min="7" max="7" width="10" hidden="0" customWidth="1"/>
    <x:col min="8" max="8" width="12" hidden="0" customWidth="1"/>
    <x:col min="9" max="9" width="10" hidden="0" customWidth="1"/>
    <x:col min="10" max="10" width="15" hidden="0" customWidth="1"/>
    <x:col min="11" max="11" width="15" hidden="0" customWidth="1"/>
    <x:col min="12" max="12" width="18" hidden="0" customWidth="1"/>
    <x:col min="13" max="13" width="12" hidden="0" customWidth="1"/>
    <x:col min="14" max="14" width="13" hidden="0" customWidth="1"/>
    <x:col min="15" max="15" width="13" hidden="0" customWidth="1"/>
    <x:col min="16" max="16" width="14" hidden="0" customWidth="1"/>
    <x:col min="17" max="17" width="13" hidden="0" customWidth="1"/>
  </x:cols>
  <x:sheetData>
    <x:row r="1">
      <x:c r="A1" s="10" t="str">
        <x:v>Siembra_ID</x:v>
      </x:c>
      <x:c r="B1" s="10" t="str">
        <x:v>Finca</x:v>
      </x:c>
      <x:c r="C1" s="10" t="str">
        <x:v>Finca_ID</x:v>
      </x:c>
      <x:c r="D1" s="10" t="str">
        <x:v>Unidad</x:v>
      </x:c>
      <x:c r="E1" s="10" t="str">
        <x:v>Unidad_ID</x:v>
      </x:c>
      <x:c r="F1" s="10" t="str">
        <x:v>Estado_Unidad</x:v>
      </x:c>
      <x:c r="G1" s="10" t="str">
        <x:v>Cultivo</x:v>
      </x:c>
      <x:c r="H1" s="10" t="str">
        <x:v>Cultivo_ID</x:v>
      </x:c>
      <x:c r="I1" s="10" t="str">
        <x:v>Cantidad</x:v>
      </x:c>
      <x:c r="J1" s="10" t="str">
        <x:v>Estado_Actual</x:v>
      </x:c>
      <x:c r="K1" s="10" t="str">
        <x:v>Fecha_Siembra</x:v>
      </x:c>
      <x:c r="L1" s="10" t="str">
        <x:v>Fecha_Trasplante</x:v>
      </x:c>
      <x:c r="M1" s="10" t="str">
        <x:v>Fecha_Base</x:v>
      </x:c>
      <x:c r="N1" s="10" t="str">
        <x:v>Cosecha_Min</x:v>
      </x:c>
      <x:c r="O1" s="10" t="str">
        <x:v>Cosecha_Max</x:v>
      </x:c>
      <x:c r="P1" s="10" t="str">
        <x:v>Alerta_Datos</x:v>
      </x:c>
      <x:c r="Q1" s="10" t="str">
        <x:v>Mes_Cosecha</x:v>
      </x:c>
    </x:row>
    <x:row r="2">
      <x:c r="A2" s="11" t="str">
        <x:v>SIE_MOR_001</x:v>
      </x:c>
      <x:c r="B2" s="11" t="str">
        <x:v>Moravia</x:v>
      </x:c>
      <x:c r="C2" s="11" t="str">
        <x:v>FIN_MORAVIA</x:v>
      </x:c>
      <x:c r="D2" s="11" t="str">
        <x:v>Cama Moravia 1</x:v>
      </x:c>
      <x:c r="E2" s="11" t="str">
        <x:v>UNI_MOR_CAMA_01</x:v>
      </x:c>
      <x:c r="F2" s="11" t="str">
        <x:v>Activa</x:v>
      </x:c>
      <x:c r="G2" s="11" t="str">
        <x:v>Lechuga</x:v>
      </x:c>
      <x:c r="H2" s="11" t="str">
        <x:v>CUL_LECHUGA</x:v>
      </x:c>
      <x:c r="I2" s="11" t="n">
        <x:v>10</x:v>
      </x:c>
      <x:c r="J2" s="11" t="str">
        <x:v>Crecimiento</x:v>
      </x:c>
      <x:c r="K2" s="14" t="n">
        <x:v>46128</x:v>
      </x:c>
      <x:c r="L2" s="14"/>
      <x:c r="M2" s="14" t="n">
        <x:v>46128</x:v>
      </x:c>
      <x:c r="N2" s="14" t="n">
        <x:v>46163</x:v>
      </x:c>
      <x:c r="O2" s="14" t="n">
        <x:v>46178</x:v>
      </x:c>
      <x:c r="P2" s="11" t="str"/>
      <x:c r="Q2" s="11" t="str">
        <x:v>2026-05</x:v>
      </x:c>
    </x:row>
    <x:row r="3">
      <x:c r="A3" s="11" t="str">
        <x:v>SIE_MOR_002</x:v>
      </x:c>
      <x:c r="B3" s="11" t="str">
        <x:v>Moravia</x:v>
      </x:c>
      <x:c r="C3" s="11" t="str">
        <x:v>FIN_MORAVIA</x:v>
      </x:c>
      <x:c r="D3" s="11" t="str">
        <x:v>Cama Moravia 1</x:v>
      </x:c>
      <x:c r="E3" s="11" t="str">
        <x:v>UNI_MOR_CAMA_01</x:v>
      </x:c>
      <x:c r="F3" s="11" t="str">
        <x:v>Activa</x:v>
      </x:c>
      <x:c r="G3" s="11" t="str">
        <x:v>Cebollino</x:v>
      </x:c>
      <x:c r="H3" s="11" t="str">
        <x:v>CUL_CEBOLLINO</x:v>
      </x:c>
      <x:c r="I3" s="11" t="n">
        <x:v>1</x:v>
      </x:c>
      <x:c r="J3" s="11" t="str">
        <x:v>Crecimiento</x:v>
      </x:c>
      <x:c r="K3" s="14" t="n">
        <x:v>46032</x:v>
      </x:c>
      <x:c r="L3" s="14"/>
      <x:c r="M3" s="14" t="n">
        <x:v>46032</x:v>
      </x:c>
      <x:c r="N3" s="14" t="n">
        <x:v>46092</x:v>
      </x:c>
      <x:c r="O3" s="14" t="n">
        <x:v>46122</x:v>
      </x:c>
      <x:c r="P3" s="11" t="str"/>
      <x:c r="Q3" s="11" t="str">
        <x:v>2026-03</x:v>
      </x:c>
    </x:row>
    <x:row r="4">
      <x:c r="A4" s="11" t="str">
        <x:v>SIE_MOR_003</x:v>
      </x:c>
      <x:c r="B4" s="11" t="str">
        <x:v>Moravia</x:v>
      </x:c>
      <x:c r="C4" s="11" t="str">
        <x:v>FIN_MORAVIA</x:v>
      </x:c>
      <x:c r="D4" s="11" t="str">
        <x:v>Cama Moravia 1</x:v>
      </x:c>
      <x:c r="E4" s="11" t="str">
        <x:v>UNI_MOR_CAMA_01</x:v>
      </x:c>
      <x:c r="F4" s="11" t="str">
        <x:v>Activa</x:v>
      </x:c>
      <x:c r="G4" s="11" t="str">
        <x:v>Tomate cherry</x:v>
      </x:c>
      <x:c r="H4" s="11" t="str">
        <x:v>CUL_TOMATE_CHERRY</x:v>
      </x:c>
      <x:c r="I4" s="11" t="n">
        <x:v>1</x:v>
      </x:c>
      <x:c r="J4" s="11" t="str">
        <x:v>Floración</x:v>
      </x:c>
      <x:c r="K4" s="14" t="n">
        <x:v>46128</x:v>
      </x:c>
      <x:c r="L4" s="14"/>
      <x:c r="M4" s="14" t="n">
        <x:v>46128</x:v>
      </x:c>
      <x:c r="N4" s="14" t="n">
        <x:v>46203</x:v>
      </x:c>
      <x:c r="O4" s="14" t="n">
        <x:v>46228</x:v>
      </x:c>
      <x:c r="P4" s="11" t="str"/>
      <x:c r="Q4" s="11" t="str">
        <x:v>2026-06</x:v>
      </x:c>
    </x:row>
    <x:row r="5">
      <x:c r="A5" s="11" t="str">
        <x:v>SIE_MOR_004</x:v>
      </x:c>
      <x:c r="B5" s="11" t="str">
        <x:v>Moravia</x:v>
      </x:c>
      <x:c r="C5" s="11" t="str">
        <x:v>FIN_MORAVIA</x:v>
      </x:c>
      <x:c r="D5" s="11" t="str">
        <x:v>Cama Moravia 1</x:v>
      </x:c>
      <x:c r="E5" s="11" t="str">
        <x:v>UNI_MOR_CAMA_01</x:v>
      </x:c>
      <x:c r="F5" s="11" t="str">
        <x:v>Activa</x:v>
      </x:c>
      <x:c r="G5" s="11" t="str">
        <x:v>Perejil italiano</x:v>
      </x:c>
      <x:c r="H5" s="11" t="str">
        <x:v>CUL_PEREJIL_ITALIANO</x:v>
      </x:c>
      <x:c r="I5" s="11" t="n">
        <x:v>1</x:v>
      </x:c>
      <x:c r="J5" s="11" t="str">
        <x:v>Crecimiento</x:v>
      </x:c>
      <x:c r="K5" s="14" t="n">
        <x:v>46032</x:v>
      </x:c>
      <x:c r="L5" s="14"/>
      <x:c r="M5" s="14" t="n">
        <x:v>46032</x:v>
      </x:c>
      <x:c r="N5" s="14" t="n">
        <x:v>46102</x:v>
      </x:c>
      <x:c r="O5" s="14" t="n">
        <x:v>46132</x:v>
      </x:c>
      <x:c r="P5" s="11" t="str"/>
      <x:c r="Q5" s="11" t="str">
        <x:v>2026-03</x:v>
      </x:c>
    </x:row>
    <x:row r="6">
      <x:c r="A6" s="11" t="str">
        <x:v>SIE_MOR_005</x:v>
      </x:c>
      <x:c r="B6" s="11" t="str">
        <x:v>Moravia</x:v>
      </x:c>
      <x:c r="C6" s="11" t="str">
        <x:v>FIN_MORAVIA</x:v>
      </x:c>
      <x:c r="D6" s="11" t="str">
        <x:v>Cama Moravia 1</x:v>
      </x:c>
      <x:c r="E6" s="11" t="str">
        <x:v>UNI_MOR_CAMA_01</x:v>
      </x:c>
      <x:c r="F6" s="11" t="str">
        <x:v>Activa</x:v>
      </x:c>
      <x:c r="G6" s="11" t="str">
        <x:v>Perejil normal</x:v>
      </x:c>
      <x:c r="H6" s="11" t="str">
        <x:v>CUL_PEREJIL_NORMAL</x:v>
      </x:c>
      <x:c r="I6" s="11" t="n">
        <x:v>1</x:v>
      </x:c>
      <x:c r="J6" s="11" t="str">
        <x:v>Crecimiento</x:v>
      </x:c>
      <x:c r="K6" s="14" t="n">
        <x:v>46032</x:v>
      </x:c>
      <x:c r="L6" s="14"/>
      <x:c r="M6" s="14" t="n">
        <x:v>46032</x:v>
      </x:c>
      <x:c r="N6" s="14" t="n">
        <x:v>46102</x:v>
      </x:c>
      <x:c r="O6" s="14" t="n">
        <x:v>46132</x:v>
      </x:c>
      <x:c r="P6" s="11" t="str"/>
      <x:c r="Q6" s="11" t="str">
        <x:v>2026-03</x:v>
      </x:c>
    </x:row>
    <x:row r="7">
      <x:c r="A7" s="11" t="str">
        <x:v>SIE_MOR_006</x:v>
      </x:c>
      <x:c r="B7" s="11" t="str">
        <x:v>Moravia</x:v>
      </x:c>
      <x:c r="C7" s="11" t="str">
        <x:v>FIN_MORAVIA</x:v>
      </x:c>
      <x:c r="D7" s="11" t="str">
        <x:v>Cama Moravia 1</x:v>
      </x:c>
      <x:c r="E7" s="11" t="str">
        <x:v>UNI_MOR_CAMA_01</x:v>
      </x:c>
      <x:c r="F7" s="11" t="str">
        <x:v>Activa</x:v>
      </x:c>
      <x:c r="G7" s="11" t="str">
        <x:v>Espinaca</x:v>
      </x:c>
      <x:c r="H7" s="11" t="str">
        <x:v>CUL_ESPINACA</x:v>
      </x:c>
      <x:c r="I7" s="11" t="n">
        <x:v>1</x:v>
      </x:c>
      <x:c r="J7" s="11" t="str">
        <x:v>Crecimiento</x:v>
      </x:c>
      <x:c r="K7" s="14" t="n">
        <x:v>46128</x:v>
      </x:c>
      <x:c r="L7" s="14"/>
      <x:c r="M7" s="14" t="n">
        <x:v>46128</x:v>
      </x:c>
      <x:c r="N7" s="14" t="n">
        <x:v>46168</x:v>
      </x:c>
      <x:c r="O7" s="14" t="n">
        <x:v>46188</x:v>
      </x:c>
      <x:c r="P7" s="11" t="str"/>
      <x:c r="Q7" s="11" t="str">
        <x:v>2026-05</x:v>
      </x:c>
    </x:row>
    <x:row r="8">
      <x:c r="A8" s="11" t="str">
        <x:v>SIE_MOR_007</x:v>
      </x:c>
      <x:c r="B8" s="11" t="str">
        <x:v>Moravia</x:v>
      </x:c>
      <x:c r="C8" s="11" t="str">
        <x:v>FIN_MORAVIA</x:v>
      </x:c>
      <x:c r="D8" s="11" t="str">
        <x:v>Cama Moravia 1</x:v>
      </x:c>
      <x:c r="E8" s="11" t="str">
        <x:v>UNI_MOR_CAMA_01</x:v>
      </x:c>
      <x:c r="F8" s="11" t="str">
        <x:v>Activa</x:v>
      </x:c>
      <x:c r="G8" s="11" t="str">
        <x:v>Apio</x:v>
      </x:c>
      <x:c r="H8" s="11" t="str">
        <x:v>CUL_APIO</x:v>
      </x:c>
      <x:c r="I8" s="11" t="n">
        <x:v>1</x:v>
      </x:c>
      <x:c r="J8" s="11" t="str">
        <x:v>Crecimiento</x:v>
      </x:c>
      <x:c r="K8" s="14" t="n">
        <x:v>46101</x:v>
      </x:c>
      <x:c r="L8" s="14"/>
      <x:c r="M8" s="14" t="n">
        <x:v>46101</x:v>
      </x:c>
      <x:c r="N8" s="14" t="n">
        <x:v>46191</x:v>
      </x:c>
      <x:c r="O8" s="14" t="n">
        <x:v>46221</x:v>
      </x:c>
      <x:c r="P8" s="11" t="str"/>
      <x:c r="Q8" s="11" t="str">
        <x:v>2026-06</x:v>
      </x:c>
    </x:row>
    <x:row r="9">
      <x:c r="A9" s="11" t="str">
        <x:v>SIE_MOR_008</x:v>
      </x:c>
      <x:c r="B9" s="11" t="str">
        <x:v>Moravia</x:v>
      </x:c>
      <x:c r="C9" s="11" t="str">
        <x:v>FIN_MORAVIA</x:v>
      </x:c>
      <x:c r="D9" s="11" t="str">
        <x:v>Cama Moravia 1</x:v>
      </x:c>
      <x:c r="E9" s="11" t="str">
        <x:v>UNI_MOR_CAMA_01</x:v>
      </x:c>
      <x:c r="F9" s="11" t="str">
        <x:v>Activa</x:v>
      </x:c>
      <x:c r="G9" s="11" t="str">
        <x:v>Disponible</x:v>
      </x:c>
      <x:c r="H9" s="11" t="str">
        <x:v>CUL_DISPONIBLE</x:v>
      </x:c>
      <x:c r="I9" s="11" t="n">
        <x:v>1</x:v>
      </x:c>
      <x:c r="J9" s="11" t="str">
        <x:v>Disponible</x:v>
      </x:c>
      <x:c r="K9" s="14"/>
      <x:c r="L9" s="14"/>
      <x:c r="M9" s="14"/>
      <x:c r="N9" s="14"/>
      <x:c r="O9" s="14"/>
      <x:c r="P9" s="11" t="str"/>
      <x:c r="Q9" s="11" t="str">
        <x:v>Sin fecha</x:v>
      </x:c>
    </x:row>
    <x:row r="10">
      <x:c r="A10" s="11" t="str">
        <x:v>SIE_FRA_001</x:v>
      </x:c>
      <x:c r="B10" s="11" t="str">
        <x:v>Frailes</x:v>
      </x:c>
      <x:c r="C10" s="11" t="str">
        <x:v>FIN_FRAILES</x:v>
      </x:c>
      <x:c r="D10" s="11" t="str">
        <x:v>Cama Frailes 1</x:v>
      </x:c>
      <x:c r="E10" s="11" t="str">
        <x:v>UNI_FRA_CAMA_01</x:v>
      </x:c>
      <x:c r="F10" s="11" t="str">
        <x:v>Activa</x:v>
      </x:c>
      <x:c r="G10" s="11" t="str">
        <x:v>Lechuga</x:v>
      </x:c>
      <x:c r="H10" s="11" t="str">
        <x:v>CUL_LECHUGA</x:v>
      </x:c>
      <x:c r="I10" s="11" t="n">
        <x:v>9</x:v>
      </x:c>
      <x:c r="J10" s="11" t="str">
        <x:v>Crecimiento</x:v>
      </x:c>
      <x:c r="K10" s="14"/>
      <x:c r="L10" s="14" t="n">
        <x:v>46137</x:v>
      </x:c>
      <x:c r="M10" s="14" t="n">
        <x:v>46137</x:v>
      </x:c>
      <x:c r="N10" s="14" t="n">
        <x:v>46172</x:v>
      </x:c>
      <x:c r="O10" s="14" t="n">
        <x:v>46187</x:v>
      </x:c>
      <x:c r="P10" s="11" t="str"/>
      <x:c r="Q10" s="11" t="str">
        <x:v>2026-05</x:v>
      </x:c>
    </x:row>
    <x:row r="11">
      <x:c r="A11" s="11" t="str">
        <x:v>SIE_FRA_002</x:v>
      </x:c>
      <x:c r="B11" s="11" t="str">
        <x:v>Frailes</x:v>
      </x:c>
      <x:c r="C11" s="11" t="str">
        <x:v>FIN_FRAILES</x:v>
      </x:c>
      <x:c r="D11" s="11" t="str">
        <x:v>Cama Frailes 1</x:v>
      </x:c>
      <x:c r="E11" s="11" t="str">
        <x:v>UNI_FRA_CAMA_01</x:v>
      </x:c>
      <x:c r="F11" s="11" t="str">
        <x:v>Activa</x:v>
      </x:c>
      <x:c r="G11" s="11" t="str">
        <x:v>Acelga</x:v>
      </x:c>
      <x:c r="H11" s="11" t="str">
        <x:v>CUL_ACELGA</x:v>
      </x:c>
      <x:c r="I11" s="11" t="n">
        <x:v>5</x:v>
      </x:c>
      <x:c r="J11" s="11" t="str">
        <x:v>Crecimiento</x:v>
      </x:c>
      <x:c r="K11" s="14"/>
      <x:c r="L11" s="14" t="n">
        <x:v>46172</x:v>
      </x:c>
      <x:c r="M11" s="14" t="n">
        <x:v>46172</x:v>
      </x:c>
      <x:c r="N11" s="14" t="n">
        <x:v>46217</x:v>
      </x:c>
      <x:c r="O11" s="14" t="n">
        <x:v>46237</x:v>
      </x:c>
      <x:c r="P11" s="11" t="str"/>
      <x:c r="Q11" s="11" t="str">
        <x:v>2026-07</x:v>
      </x:c>
    </x:row>
    <x:row r="12">
      <x:c r="A12" s="11" t="str">
        <x:v>SIE_FRA_003</x:v>
      </x:c>
      <x:c r="B12" s="11" t="str">
        <x:v>Frailes</x:v>
      </x:c>
      <x:c r="C12" s="11" t="str">
        <x:v>FIN_FRAILES</x:v>
      </x:c>
      <x:c r="D12" s="11" t="str">
        <x:v>Cama Frailes 1</x:v>
      </x:c>
      <x:c r="E12" s="11" t="str">
        <x:v>UNI_FRA_CAMA_01</x:v>
      </x:c>
      <x:c r="F12" s="11" t="str">
        <x:v>Activa</x:v>
      </x:c>
      <x:c r="G12" s="11" t="str">
        <x:v>Pepino</x:v>
      </x:c>
      <x:c r="H12" s="11" t="str">
        <x:v>CUL_PEPINO</x:v>
      </x:c>
      <x:c r="I12" s="11" t="n">
        <x:v>2</x:v>
      </x:c>
      <x:c r="J12" s="11" t="str">
        <x:v>Floración</x:v>
      </x:c>
      <x:c r="K12" s="14"/>
      <x:c r="L12" s="14" t="n">
        <x:v>46137</x:v>
      </x:c>
      <x:c r="M12" s="14" t="n">
        <x:v>46137</x:v>
      </x:c>
      <x:c r="N12" s="14" t="n">
        <x:v>46182</x:v>
      </x:c>
      <x:c r="O12" s="14" t="n">
        <x:v>46202</x:v>
      </x:c>
      <x:c r="P12" s="11" t="str"/>
      <x:c r="Q12" s="11" t="str">
        <x:v>2026-06</x:v>
      </x:c>
    </x:row>
    <x:row r="13">
      <x:c r="A13" s="11" t="str">
        <x:v>SIE_FRA_004</x:v>
      </x:c>
      <x:c r="B13" s="11" t="str">
        <x:v>Frailes</x:v>
      </x:c>
      <x:c r="C13" s="11" t="str">
        <x:v>FIN_FRAILES</x:v>
      </x:c>
      <x:c r="D13" s="11" t="str">
        <x:v>Cama Frailes 1</x:v>
      </x:c>
      <x:c r="E13" s="11" t="str">
        <x:v>UNI_FRA_CAMA_01</x:v>
      </x:c>
      <x:c r="F13" s="11" t="str">
        <x:v>Activa</x:v>
      </x:c>
      <x:c r="G13" s="11" t="str">
        <x:v>Sandía</x:v>
      </x:c>
      <x:c r="H13" s="11" t="str">
        <x:v>CUL_SANDIA</x:v>
      </x:c>
      <x:c r="I13" s="11" t="n">
        <x:v>2</x:v>
      </x:c>
      <x:c r="J13" s="11" t="str">
        <x:v>Crecimiento</x:v>
      </x:c>
      <x:c r="K13" s="14"/>
      <x:c r="L13" s="14" t="n">
        <x:v>46137</x:v>
      </x:c>
      <x:c r="M13" s="14" t="n">
        <x:v>46137</x:v>
      </x:c>
      <x:c r="N13" s="14" t="n">
        <x:v>46217</x:v>
      </x:c>
      <x:c r="O13" s="14" t="n">
        <x:v>46237</x:v>
      </x:c>
      <x:c r="P13" s="11" t="str"/>
      <x:c r="Q13" s="11" t="str">
        <x:v>2026-07</x:v>
      </x:c>
    </x:row>
    <x:row r="14">
      <x:c r="A14" s="11" t="str">
        <x:v>SIE_FRA_005</x:v>
      </x:c>
      <x:c r="B14" s="11" t="str">
        <x:v>Frailes</x:v>
      </x:c>
      <x:c r="C14" s="11" t="str">
        <x:v>FIN_FRAILES</x:v>
      </x:c>
      <x:c r="D14" s="11" t="str">
        <x:v>Cama Frailes 1</x:v>
      </x:c>
      <x:c r="E14" s="11" t="str">
        <x:v>UNI_FRA_CAMA_01</x:v>
      </x:c>
      <x:c r="F14" s="11" t="str">
        <x:v>Activa</x:v>
      </x:c>
      <x:c r="G14" s="11" t="str">
        <x:v>Ayote</x:v>
      </x:c>
      <x:c r="H14" s="11" t="str">
        <x:v>CUL_AYOTE</x:v>
      </x:c>
      <x:c r="I14" s="11" t="n">
        <x:v>1</x:v>
      </x:c>
      <x:c r="J14" s="11" t="str">
        <x:v>Crecimiento</x:v>
      </x:c>
      <x:c r="K14" s="14"/>
      <x:c r="L14" s="14" t="n">
        <x:v>46137</x:v>
      </x:c>
      <x:c r="M14" s="14" t="n">
        <x:v>46137</x:v>
      </x:c>
      <x:c r="N14" s="14" t="n">
        <x:v>46227</x:v>
      </x:c>
      <x:c r="O14" s="14" t="n">
        <x:v>46257</x:v>
      </x:c>
      <x:c r="P14" s="11" t="str"/>
      <x:c r="Q14" s="11" t="str">
        <x:v>2026-07</x:v>
      </x:c>
    </x:row>
    <x:row r="15">
      <x:c r="A15" s="11" t="str">
        <x:v>SIE_FRA_006</x:v>
      </x:c>
      <x:c r="B15" s="11" t="str">
        <x:v>Frailes</x:v>
      </x:c>
      <x:c r="C15" s="11" t="str">
        <x:v>FIN_FRAILES</x:v>
      </x:c>
      <x:c r="D15" s="11" t="str">
        <x:v>Cama Frailes 1</x:v>
      </x:c>
      <x:c r="E15" s="11" t="str">
        <x:v>UNI_FRA_CAMA_01</x:v>
      </x:c>
      <x:c r="F15" s="11" t="str">
        <x:v>Activa</x:v>
      </x:c>
      <x:c r="G15" s="11" t="str">
        <x:v>Albahaca</x:v>
      </x:c>
      <x:c r="H15" s="11" t="str">
        <x:v>CUL_ALBAHACA</x:v>
      </x:c>
      <x:c r="I15" s="11" t="n">
        <x:v>1</x:v>
      </x:c>
      <x:c r="J15" s="11" t="str">
        <x:v>Crecimiento</x:v>
      </x:c>
      <x:c r="K15" s="14"/>
      <x:c r="L15" s="14" t="n">
        <x:v>46137</x:v>
      </x:c>
      <x:c r="M15" s="14" t="n">
        <x:v>46137</x:v>
      </x:c>
      <x:c r="N15" s="14" t="n">
        <x:v>46172</x:v>
      </x:c>
      <x:c r="O15" s="14" t="n">
        <x:v>46187</x:v>
      </x:c>
      <x:c r="P15" s="11" t="str"/>
      <x:c r="Q15" s="11" t="str">
        <x:v>2026-05</x:v>
      </x:c>
    </x:row>
    <x:row r="16">
      <x:c r="A16" s="11" t="str">
        <x:v>SIE_FRA_007</x:v>
      </x:c>
      <x:c r="B16" s="11" t="str">
        <x:v>Frailes</x:v>
      </x:c>
      <x:c r="C16" s="11" t="str">
        <x:v>FIN_FRAILES</x:v>
      </x:c>
      <x:c r="D16" s="11" t="str">
        <x:v>Cama Frailes 2</x:v>
      </x:c>
      <x:c r="E16" s="11" t="str">
        <x:v>UNI_FRA_CAMA_02</x:v>
      </x:c>
      <x:c r="F16" s="11" t="str">
        <x:v>Activa</x:v>
      </x:c>
      <x:c r="G16" s="11" t="str">
        <x:v>Tomate cherry</x:v>
      </x:c>
      <x:c r="H16" s="11" t="str">
        <x:v>CUL_TOMATE_CHERRY</x:v>
      </x:c>
      <x:c r="I16" s="11" t="n">
        <x:v>6</x:v>
      </x:c>
      <x:c r="J16" s="11" t="str">
        <x:v>Crecimiento</x:v>
      </x:c>
      <x:c r="K16" s="14" t="n">
        <x:v>46137</x:v>
      </x:c>
      <x:c r="L16" s="14"/>
      <x:c r="M16" s="14" t="n">
        <x:v>46137</x:v>
      </x:c>
      <x:c r="N16" s="14" t="n">
        <x:v>46212</x:v>
      </x:c>
      <x:c r="O16" s="14" t="n">
        <x:v>46237</x:v>
      </x:c>
      <x:c r="P16" s="11" t="str"/>
      <x:c r="Q16" s="11" t="str">
        <x:v>2026-07</x:v>
      </x:c>
    </x:row>
    <x:row r="17">
      <x:c r="A17" s="11" t="str">
        <x:v>SIE_FRA_008</x:v>
      </x:c>
      <x:c r="B17" s="11" t="str">
        <x:v>Frailes</x:v>
      </x:c>
      <x:c r="C17" s="11" t="str">
        <x:v>FIN_FRAILES</x:v>
      </x:c>
      <x:c r="D17" s="11" t="str">
        <x:v>Cama Frailes 2</x:v>
      </x:c>
      <x:c r="E17" s="11" t="str">
        <x:v>UNI_FRA_CAMA_02</x:v>
      </x:c>
      <x:c r="F17" s="11" t="str">
        <x:v>Activa</x:v>
      </x:c>
      <x:c r="G17" s="11" t="str">
        <x:v>Culantro</x:v>
      </x:c>
      <x:c r="H17" s="11" t="str">
        <x:v>CUL_CULANTRO</x:v>
      </x:c>
      <x:c r="I17" s="11" t="n">
        <x:v>20</x:v>
      </x:c>
      <x:c r="J17" s="11" t="str">
        <x:v>Crecimiento</x:v>
      </x:c>
      <x:c r="K17" s="14" t="n">
        <x:v>46172</x:v>
      </x:c>
      <x:c r="L17" s="14"/>
      <x:c r="M17" s="14" t="n">
        <x:v>46172</x:v>
      </x:c>
      <x:c r="N17" s="14" t="n">
        <x:v>46212</x:v>
      </x:c>
      <x:c r="O17" s="14" t="n">
        <x:v>46232</x:v>
      </x:c>
      <x:c r="P17" s="11" t="str"/>
      <x:c r="Q17" s="11" t="str">
        <x:v>2026-07</x:v>
      </x:c>
    </x:row>
    <x:row r="18">
      <x:c r="A18" s="11" t="str">
        <x:v>SIE_FRA_009</x:v>
      </x:c>
      <x:c r="B18" s="11" t="str">
        <x:v>Frailes</x:v>
      </x:c>
      <x:c r="C18" s="11" t="str">
        <x:v>FIN_FRAILES</x:v>
      </x:c>
      <x:c r="D18" s="11" t="str">
        <x:v>Cama Frailes 2</x:v>
      </x:c>
      <x:c r="E18" s="11" t="str">
        <x:v>UNI_FRA_CAMA_02</x:v>
      </x:c>
      <x:c r="F18" s="11" t="str">
        <x:v>Activa</x:v>
      </x:c>
      <x:c r="G18" s="11" t="str">
        <x:v>Cebolla blanca</x:v>
      </x:c>
      <x:c r="H18" s="11" t="str">
        <x:v>CUL_CEBOLLA_BLANCA</x:v>
      </x:c>
      <x:c r="I18" s="11" t="n">
        <x:v>50</x:v>
      </x:c>
      <x:c r="J18" s="11" t="str">
        <x:v>Crecimiento</x:v>
      </x:c>
      <x:c r="K18" s="14" t="n">
        <x:v>46137</x:v>
      </x:c>
      <x:c r="L18" s="14" t="n">
        <x:v>46137</x:v>
      </x:c>
      <x:c r="M18" s="14" t="n">
        <x:v>46137</x:v>
      </x:c>
      <x:c r="N18" s="14" t="n">
        <x:v>46227</x:v>
      </x:c>
      <x:c r="O18" s="14" t="n">
        <x:v>46257</x:v>
      </x:c>
      <x:c r="P18" s="11" t="str"/>
      <x:c r="Q18" s="11" t="str">
        <x:v>2026-07</x:v>
      </x:c>
    </x:row>
    <x:row r="19">
      <x:c r="A19" s="11" t="str">
        <x:v>SIE_FRA_010</x:v>
      </x:c>
      <x:c r="B19" s="11" t="str">
        <x:v>Frailes</x:v>
      </x:c>
      <x:c r="C19" s="11" t="str">
        <x:v>FIN_FRAILES</x:v>
      </x:c>
      <x:c r="D19" s="11" t="str">
        <x:v>Cama Frailes 3</x:v>
      </x:c>
      <x:c r="E19" s="11" t="str">
        <x:v>UNI_FRA_CAMA_03</x:v>
      </x:c>
      <x:c r="F19" s="11" t="str">
        <x:v>Activa</x:v>
      </x:c>
      <x:c r="G19" s="11" t="str">
        <x:v>Tomate cherry</x:v>
      </x:c>
      <x:c r="H19" s="11" t="str">
        <x:v>CUL_TOMATE_CHERRY</x:v>
      </x:c>
      <x:c r="I19" s="11" t="n">
        <x:v>6</x:v>
      </x:c>
      <x:c r="J19" s="11" t="str">
        <x:v>Crecimiento</x:v>
      </x:c>
      <x:c r="K19" s="14" t="n">
        <x:v>46137</x:v>
      </x:c>
      <x:c r="L19" s="14"/>
      <x:c r="M19" s="14" t="n">
        <x:v>46137</x:v>
      </x:c>
      <x:c r="N19" s="14" t="n">
        <x:v>46212</x:v>
      </x:c>
      <x:c r="O19" s="14" t="n">
        <x:v>46237</x:v>
      </x:c>
      <x:c r="P19" s="11" t="str"/>
      <x:c r="Q19" s="11" t="str">
        <x:v>2026-07</x:v>
      </x:c>
    </x:row>
    <x:row r="20">
      <x:c r="A20" s="11" t="str">
        <x:v>SIE_FRA_011</x:v>
      </x:c>
      <x:c r="B20" s="11" t="str">
        <x:v>Frailes</x:v>
      </x:c>
      <x:c r="C20" s="11" t="str">
        <x:v>FIN_FRAILES</x:v>
      </x:c>
      <x:c r="D20" s="11" t="str">
        <x:v>Cama Frailes 3</x:v>
      </x:c>
      <x:c r="E20" s="11" t="str">
        <x:v>UNI_FRA_CAMA_03</x:v>
      </x:c>
      <x:c r="F20" s="11" t="str">
        <x:v>Activa</x:v>
      </x:c>
      <x:c r="G20" s="11" t="str">
        <x:v>Culantro</x:v>
      </x:c>
      <x:c r="H20" s="11" t="str">
        <x:v>CUL_CULANTRO</x:v>
      </x:c>
      <x:c r="I20" s="11" t="n">
        <x:v>40</x:v>
      </x:c>
      <x:c r="J20" s="11" t="str">
        <x:v>Crecimiento</x:v>
      </x:c>
      <x:c r="K20" s="14" t="n">
        <x:v>46137</x:v>
      </x:c>
      <x:c r="L20" s="14"/>
      <x:c r="M20" s="14" t="n">
        <x:v>46137</x:v>
      </x:c>
      <x:c r="N20" s="14" t="n">
        <x:v>46177</x:v>
      </x:c>
      <x:c r="O20" s="14" t="n">
        <x:v>46197</x:v>
      </x:c>
      <x:c r="P20" s="11" t="str"/>
      <x:c r="Q20" s="11" t="str">
        <x:v>2026-06</x:v>
      </x:c>
    </x:row>
    <x:row r="21">
      <x:c r="A21" s="11" t="str">
        <x:v>SIE_FRA_012</x:v>
      </x:c>
      <x:c r="B21" s="11" t="str">
        <x:v>Frailes</x:v>
      </x:c>
      <x:c r="C21" s="11" t="str">
        <x:v>FIN_FRAILES</x:v>
      </x:c>
      <x:c r="D21" s="11" t="str">
        <x:v>Cama Frailes 3</x:v>
      </x:c>
      <x:c r="E21" s="11" t="str">
        <x:v>UNI_FRA_CAMA_03</x:v>
      </x:c>
      <x:c r="F21" s="11" t="str">
        <x:v>Activa</x:v>
      </x:c>
      <x:c r="G21" s="11" t="str">
        <x:v>Chile dulce</x:v>
      </x:c>
      <x:c r="H21" s="11" t="str">
        <x:v>CUL_CHILE_DULCE</x:v>
      </x:c>
      <x:c r="I21" s="11" t="n">
        <x:v>6</x:v>
      </x:c>
      <x:c r="J21" s="11" t="str">
        <x:v>Crecimiento</x:v>
      </x:c>
      <x:c r="K21" s="14" t="n">
        <x:v>46137</x:v>
      </x:c>
      <x:c r="L21" s="14"/>
      <x:c r="M21" s="14" t="n">
        <x:v>46137</x:v>
      </x:c>
      <x:c r="N21" s="14" t="n">
        <x:v>46212</x:v>
      </x:c>
      <x:c r="O21" s="14" t="n">
        <x:v>46237</x:v>
      </x:c>
      <x:c r="P21" s="11" t="str"/>
      <x:c r="Q21" s="11" t="str">
        <x:v>2026-07</x:v>
      </x:c>
    </x:row>
    <x:row r="22">
      <x:c r="A22" s="11" t="str">
        <x:v>SIE_FRA_013</x:v>
      </x:c>
      <x:c r="B22" s="11" t="str">
        <x:v>Frailes</x:v>
      </x:c>
      <x:c r="C22" s="11" t="str">
        <x:v>FIN_FRAILES</x:v>
      </x:c>
      <x:c r="D22" s="11" t="str">
        <x:v>Cama Frailes 5</x:v>
      </x:c>
      <x:c r="E22" s="11" t="str">
        <x:v>UNI_FRA_CAMA_05</x:v>
      </x:c>
      <x:c r="F22" s="11" t="str">
        <x:v>Activa</x:v>
      </x:c>
      <x:c r="G22" s="11" t="str">
        <x:v>Cebolla morada</x:v>
      </x:c>
      <x:c r="H22" s="11" t="str">
        <x:v>CUL_CEBOLLA_MORADA</x:v>
      </x:c>
      <x:c r="I22" s="11" t="n">
        <x:v>50</x:v>
      </x:c>
      <x:c r="J22" s="11" t="str">
        <x:v>Crecimiento</x:v>
      </x:c>
      <x:c r="K22" s="14" t="n">
        <x:v>46172</x:v>
      </x:c>
      <x:c r="L22" s="14" t="n">
        <x:v>46172</x:v>
      </x:c>
      <x:c r="M22" s="14" t="n">
        <x:v>46172</x:v>
      </x:c>
      <x:c r="N22" s="14" t="n">
        <x:v>46262</x:v>
      </x:c>
      <x:c r="O22" s="14" t="n">
        <x:v>46292</x:v>
      </x:c>
      <x:c r="P22" s="11" t="str"/>
      <x:c r="Q22" s="11" t="str">
        <x:v>2026-08</x:v>
      </x:c>
    </x:row>
    <x:row r="23">
      <x:c r="A23" s="11" t="str">
        <x:v>SIE_FRA_014</x:v>
      </x:c>
      <x:c r="B23" s="11" t="str">
        <x:v>Frailes</x:v>
      </x:c>
      <x:c r="C23" s="11" t="str">
        <x:v>FIN_FRAILES</x:v>
      </x:c>
      <x:c r="D23" s="11" t="str">
        <x:v>Cama Frailes 5</x:v>
      </x:c>
      <x:c r="E23" s="11" t="str">
        <x:v>UNI_FRA_CAMA_05</x:v>
      </x:c>
      <x:c r="F23" s="11" t="str">
        <x:v>Activa</x:v>
      </x:c>
      <x:c r="G23" s="11" t="str">
        <x:v>Arúgula</x:v>
      </x:c>
      <x:c r="H23" s="11" t="str">
        <x:v>CUL_ARUGULA</x:v>
      </x:c>
      <x:c r="I23" s="11" t="n">
        <x:v>6</x:v>
      </x:c>
      <x:c r="J23" s="11" t="str">
        <x:v>Crecimiento</x:v>
      </x:c>
      <x:c r="K23" s="14" t="n">
        <x:v>46172</x:v>
      </x:c>
      <x:c r="L23" s="14"/>
      <x:c r="M23" s="14" t="n">
        <x:v>46172</x:v>
      </x:c>
      <x:c r="N23" s="14" t="n">
        <x:v>46197</x:v>
      </x:c>
      <x:c r="O23" s="14" t="n">
        <x:v>46212</x:v>
      </x:c>
      <x:c r="P23" s="11" t="str"/>
      <x:c r="Q23" s="11" t="str">
        <x:v>2026-06</x:v>
      </x:c>
    </x:row>
    <x:row r="24">
      <x:c r="A24" s="11" t="str">
        <x:v>SIE_FRA_015</x:v>
      </x:c>
      <x:c r="B24" s="11" t="str">
        <x:v>Frailes</x:v>
      </x:c>
      <x:c r="C24" s="11" t="str">
        <x:v>FIN_FRAILES</x:v>
      </x:c>
      <x:c r="D24" s="11" t="str">
        <x:v>Cama Frailes 5</x:v>
      </x:c>
      <x:c r="E24" s="11" t="str">
        <x:v>UNI_FRA_CAMA_05</x:v>
      </x:c>
      <x:c r="F24" s="11" t="str">
        <x:v>Activa</x:v>
      </x:c>
      <x:c r="G24" s="11" t="str">
        <x:v>Disponible</x:v>
      </x:c>
      <x:c r="H24" s="11" t="str">
        <x:v>CUL_DISPONIBLE</x:v>
      </x:c>
      <x:c r="I24" s="11" t="n">
        <x:v>1</x:v>
      </x:c>
      <x:c r="J24" s="11" t="str">
        <x:v>Disponible</x:v>
      </x:c>
      <x:c r="K24" s="14"/>
      <x:c r="L24" s="14"/>
      <x:c r="M24" s="14"/>
      <x:c r="N24" s="14"/>
      <x:c r="O24" s="14"/>
      <x:c r="P24" s="11" t="str"/>
      <x:c r="Q24" s="11" t="str">
        <x:v>Sin fecha</x:v>
      </x:c>
    </x:row>
    <x:row r="25">
      <x:c r="A25" s="11" t="str">
        <x:v>SIE_FRA_016</x:v>
      </x:c>
      <x:c r="B25" s="11" t="str">
        <x:v>Frailes</x:v>
      </x:c>
      <x:c r="C25" s="11" t="str">
        <x:v>FIN_FRAILES</x:v>
      </x:c>
      <x:c r="D25" s="11" t="str">
        <x:v>Cama Frailes 6</x:v>
      </x:c>
      <x:c r="E25" s="11" t="str">
        <x:v>UNI_FRA_CAMA_06</x:v>
      </x:c>
      <x:c r="F25" s="11" t="str">
        <x:v>Activa</x:v>
      </x:c>
      <x:c r="G25" s="11" t="str">
        <x:v>Zucchini</x:v>
      </x:c>
      <x:c r="H25" s="11" t="str">
        <x:v>CUL_ZUCCHINI</x:v>
      </x:c>
      <x:c r="I25" s="11" t="n">
        <x:v>8</x:v>
      </x:c>
      <x:c r="J25" s="11" t="str">
        <x:v>Crecimiento</x:v>
      </x:c>
      <x:c r="K25" s="14" t="n">
        <x:v>46137</x:v>
      </x:c>
      <x:c r="L25" s="14"/>
      <x:c r="M25" s="14" t="n">
        <x:v>46137</x:v>
      </x:c>
      <x:c r="N25" s="14" t="n">
        <x:v>46182</x:v>
      </x:c>
      <x:c r="O25" s="14" t="n">
        <x:v>46202</x:v>
      </x:c>
      <x:c r="P25" s="11" t="str"/>
      <x:c r="Q25" s="11" t="str">
        <x:v>2026-06</x:v>
      </x:c>
    </x:row>
    <x:row r="26">
      <x:c r="A26" s="11" t="str">
        <x:v>SIE_FRA_017</x:v>
      </x:c>
      <x:c r="B26" s="11" t="str">
        <x:v>Frailes</x:v>
      </x:c>
      <x:c r="C26" s="11" t="str">
        <x:v>FIN_FRAILES</x:v>
      </x:c>
      <x:c r="D26" s="11" t="str">
        <x:v>Cama Frailes 7</x:v>
      </x:c>
      <x:c r="E26" s="11" t="str">
        <x:v>UNI_FRA_CAMA_07</x:v>
      </x:c>
      <x:c r="F26" s="11" t="str">
        <x:v>Activa</x:v>
      </x:c>
      <x:c r="G26" s="11" t="str">
        <x:v>Zanahoria</x:v>
      </x:c>
      <x:c r="H26" s="11" t="str">
        <x:v>CUL_ZANAHORIA</x:v>
      </x:c>
      <x:c r="I26" s="11" t="n">
        <x:v>35</x:v>
      </x:c>
      <x:c r="J26" s="11" t="str">
        <x:v>Crecimiento</x:v>
      </x:c>
      <x:c r="K26" s="14" t="n">
        <x:v>46152</x:v>
      </x:c>
      <x:c r="L26" s="14"/>
      <x:c r="M26" s="14" t="n">
        <x:v>46152</x:v>
      </x:c>
      <x:c r="N26" s="14" t="n">
        <x:v>46232</x:v>
      </x:c>
      <x:c r="O26" s="14" t="n">
        <x:v>46262</x:v>
      </x:c>
      <x:c r="P26" s="11" t="str"/>
      <x:c r="Q26" s="11" t="str">
        <x:v>2026-07</x:v>
      </x:c>
    </x:row>
  </x:sheetData>
  <x:pageMargins left="0.7" right="0.7" top="0.75" bottom="0.75" header="0.3" footer="0.3"/>
  <x:tableParts count="1">
    <x:tablePart xmlns:r="http://schemas.openxmlformats.org/officeDocument/2006/relationships" r:id="Ra36015e448df4c1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3.319999694824219" hidden="0" customWidth="1"/>
    <x:col min="2" max="2" width="16.020000457763672" hidden="0" customWidth="1"/>
  </x:cols>
  <x:sheetData>
    <x:row r="1">
      <x:c r="A1" s="24" t="str">
        <x:v>Lista</x:v>
      </x:c>
      <x:c r="B1" s="24" t="str">
        <x:v>Valor</x:v>
      </x:c>
    </x:row>
    <x:row r="2">
      <x:c r="A2" s="11" t="str">
        <x:v>Tipo_Evento</x:v>
      </x:c>
      <x:c r="B2" s="11" t="str">
        <x:v>Control fitosanitario</x:v>
      </x:c>
    </x:row>
    <x:row r="3">
      <x:c r="A3" s="11" t="str">
        <x:v>Tipo_Evento</x:v>
      </x:c>
      <x:c r="B3" s="11" t="str">
        <x:v>Abono tierra</x:v>
      </x:c>
    </x:row>
    <x:row r="4">
      <x:c r="A4" s="11" t="str">
        <x:v>Tipo_Evento</x:v>
      </x:c>
      <x:c r="B4" s="11" t="str">
        <x:v>Poda</x:v>
      </x:c>
    </x:row>
    <x:row r="5">
      <x:c r="A5" s="11" t="str">
        <x:v>Tipo_Evento</x:v>
      </x:c>
      <x:c r="B5" s="11" t="str">
        <x:v>Abono foliar</x:v>
      </x:c>
    </x:row>
    <x:row r="6">
      <x:c r="A6" s="11" t="str">
        <x:v>Estado_Evento</x:v>
      </x:c>
      <x:c r="B6" s="11" t="str">
        <x:v>No empezado</x:v>
      </x:c>
    </x:row>
    <x:row r="7">
      <x:c r="A7" s="11" t="str">
        <x:v>Estado_Evento</x:v>
      </x:c>
      <x:c r="B7" s="11" t="str">
        <x:v>Pendiente</x:v>
      </x:c>
    </x:row>
    <x:row r="8">
      <x:c r="A8" s="11" t="str">
        <x:v>Estado_Evento</x:v>
      </x:c>
      <x:c r="B8" s="11" t="str">
        <x:v>Completado</x:v>
      </x:c>
    </x:row>
    <x:row r="9">
      <x:c r="A9" s="11" t="str">
        <x:v>Objeto_Tipo</x:v>
      </x:c>
      <x:c r="B9" s="11" t="str">
        <x:v>Cultivo</x:v>
      </x:c>
    </x:row>
    <x:row r="10">
      <x:c r="A10" s="11" t="str">
        <x:v>Objeto_Tipo</x:v>
      </x:c>
      <x:c r="B10" s="11" t="str">
        <x:v>Árbol</x:v>
      </x:c>
    </x:row>
    <x:row r="11">
      <x:c r="A11" s="11" t="str">
        <x:v>Objeto_Tipo</x:v>
      </x:c>
      <x:c r="B11" s="11" t="str">
        <x:v>Cama</x:v>
      </x:c>
    </x:row>
    <x:row r="12">
      <x:c r="A12" s="11" t="str">
        <x:v>Estado_Sanitario</x:v>
      </x:c>
      <x:c r="B12" s="11" t="str">
        <x:v>Bueno</x:v>
      </x:c>
    </x:row>
    <x:row r="13">
      <x:c r="A13" s="11" t="str">
        <x:v>Estado_Sanitario</x:v>
      </x:c>
      <x:c r="B13" s="11" t="str">
        <x:v>Atención</x:v>
      </x:c>
    </x:row>
    <x:row r="14">
      <x:c r="A14" s="11" t="str">
        <x:v>Estado_Sanitario</x:v>
      </x:c>
      <x:c r="B14" s="11" t="str">
        <x:v>Estrés</x:v>
      </x:c>
    </x:row>
  </x:sheetData>
  <x:pageMargins left="0.7" right="0.7" top="0.75" bottom="0.75" header="0.3" footer="0.3"/>
  <x:tableParts count="1">
    <x:tablePart xmlns:r="http://schemas.openxmlformats.org/officeDocument/2006/relationships" r:id="R51aaf7bf38bd4985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6.959999084472656" hidden="0" customWidth="1"/>
    <x:col min="2" max="2" width="11.4399995803833" hidden="0" customWidth="1"/>
    <x:col min="3" max="3" width="13.59000015258789" hidden="0" customWidth="1"/>
    <x:col min="4" max="4" width="10.359999656677246" hidden="0" customWidth="1"/>
    <x:col min="5" max="5" width="7.400000095367432" hidden="0" customWidth="1"/>
    <x:col min="6" max="6" width="22.479999542236328" hidden="0" customWidth="1"/>
  </x:cols>
  <x:sheetData>
    <x:row r="1">
      <x:c r="A1" s="24" t="str">
        <x:v>Unidad_ID</x:v>
      </x:c>
      <x:c r="B1" s="24" t="str">
        <x:v>Finca_ID</x:v>
      </x:c>
      <x:c r="C1" s="24" t="str">
        <x:v>Unidad_Nombre</x:v>
      </x:c>
      <x:c r="D1" s="24" t="str">
        <x:v>Tipo_Unidad</x:v>
      </x:c>
      <x:c r="E1" s="24" t="str">
        <x:v>Estado</x:v>
      </x:c>
      <x:c r="F1" s="24" t="str">
        <x:v>Notas</x:v>
      </x:c>
    </x:row>
    <x:row r="2">
      <x:c r="A2" s="11" t="str">
        <x:v>UNI_MOR_CAMA_01</x:v>
      </x:c>
      <x:c r="B2" s="11" t="str">
        <x:v>FIN_MORAVIA</x:v>
      </x:c>
      <x:c r="C2" s="11" t="str">
        <x:v>Cama Moravia 1</x:v>
      </x:c>
      <x:c r="D2" s="11" t="str">
        <x:v>Cama</x:v>
      </x:c>
      <x:c r="E2" s="11" t="str">
        <x:v>Activa</x:v>
      </x:c>
      <x:c r="F2" s="11" t="str">
        <x:v>Incluye espacios disponibles</x:v>
      </x:c>
    </x:row>
    <x:row r="3">
      <x:c r="A3" s="11" t="str">
        <x:v>UNI_FRA_CAMA_01</x:v>
      </x:c>
      <x:c r="B3" s="11" t="str">
        <x:v>FIN_FRAILES</x:v>
      </x:c>
      <x:c r="C3" s="11" t="str">
        <x:v>Cama Frailes 1</x:v>
      </x:c>
      <x:c r="D3" s="11" t="str">
        <x:v>Cama</x:v>
      </x:c>
      <x:c r="E3" s="11" t="str">
        <x:v>Activa</x:v>
      </x:c>
      <x:c r="F3" s="11"/>
    </x:row>
    <x:row r="4">
      <x:c r="A4" s="11" t="str">
        <x:v>UNI_FRA_CAMA_02</x:v>
      </x:c>
      <x:c r="B4" s="11" t="str">
        <x:v>FIN_FRAILES</x:v>
      </x:c>
      <x:c r="C4" s="11" t="str">
        <x:v>Cama Frailes 2</x:v>
      </x:c>
      <x:c r="D4" s="11" t="str">
        <x:v>Cama</x:v>
      </x:c>
      <x:c r="E4" s="11" t="str">
        <x:v>Activa</x:v>
      </x:c>
      <x:c r="F4" s="11"/>
    </x:row>
    <x:row r="5">
      <x:c r="A5" s="11" t="str">
        <x:v>UNI_FRA_CAMA_03</x:v>
      </x:c>
      <x:c r="B5" s="11" t="str">
        <x:v>FIN_FRAILES</x:v>
      </x:c>
      <x:c r="C5" s="11" t="str">
        <x:v>Cama Frailes 3</x:v>
      </x:c>
      <x:c r="D5" s="11" t="str">
        <x:v>Cama</x:v>
      </x:c>
      <x:c r="E5" s="11" t="str">
        <x:v>Activa</x:v>
      </x:c>
      <x:c r="F5" s="11"/>
    </x:row>
    <x:row r="6">
      <x:c r="A6" s="11" t="str">
        <x:v>UNI_FRA_CAMA_04</x:v>
      </x:c>
      <x:c r="B6" s="11" t="str">
        <x:v>FIN_FRAILES</x:v>
      </x:c>
      <x:c r="C6" s="11" t="str">
        <x:v>Cama Frailes 4</x:v>
      </x:c>
      <x:c r="D6" s="11" t="str">
        <x:v>Cama</x:v>
      </x:c>
      <x:c r="E6" s="11" t="str">
        <x:v>No activa</x:v>
      </x:c>
      <x:c r="F6" s="11" t="str">
        <x:v>Sin cultivos activos</x:v>
      </x:c>
    </x:row>
    <x:row r="7">
      <x:c r="A7" s="11" t="str">
        <x:v>UNI_FRA_CAMA_05</x:v>
      </x:c>
      <x:c r="B7" s="11" t="str">
        <x:v>FIN_FRAILES</x:v>
      </x:c>
      <x:c r="C7" s="11" t="str">
        <x:v>Cama Frailes 5</x:v>
      </x:c>
      <x:c r="D7" s="11" t="str">
        <x:v>Cama</x:v>
      </x:c>
      <x:c r="E7" s="11" t="str">
        <x:v>Activa</x:v>
      </x:c>
      <x:c r="F7" s="11"/>
    </x:row>
    <x:row r="8">
      <x:c r="A8" s="11" t="str">
        <x:v>UNI_FRA_CAMA_06</x:v>
      </x:c>
      <x:c r="B8" s="11" t="str">
        <x:v>FIN_FRAILES</x:v>
      </x:c>
      <x:c r="C8" s="11" t="str">
        <x:v>Cama Frailes 6</x:v>
      </x:c>
      <x:c r="D8" s="11" t="str">
        <x:v>Cama</x:v>
      </x:c>
      <x:c r="E8" s="11" t="str">
        <x:v>Activa</x:v>
      </x:c>
      <x:c r="F8" s="11"/>
    </x:row>
    <x:row r="9">
      <x:c r="A9" s="11" t="str">
        <x:v>UNI_FRA_CAMA_07</x:v>
      </x:c>
      <x:c r="B9" s="11" t="str">
        <x:v>FIN_FRAILES</x:v>
      </x:c>
      <x:c r="C9" s="11" t="str">
        <x:v>Cama Frailes 7</x:v>
      </x:c>
      <x:c r="D9" s="11" t="str">
        <x:v>Cama</x:v>
      </x:c>
      <x:c r="E9" s="11" t="str">
        <x:v>Activa</x:v>
      </x:c>
      <x:c r="F9" s="11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7.899999618530273" hidden="0" customWidth="1"/>
    <x:col min="2" max="2" width="16.81999969482422" hidden="0" customWidth="1"/>
    <x:col min="3" max="3" width="16.020000457763672" hidden="0" customWidth="1"/>
    <x:col min="4" max="4" width="8.609999656677246" hidden="0" customWidth="1"/>
    <x:col min="5" max="5" width="38.4900016784668" hidden="0" customWidth="1"/>
    <x:col min="6" max="6" width="41.04999923706055" hidden="0" customWidth="1"/>
    <x:col min="7" max="7" width="15.75" hidden="0" customWidth="1"/>
    <x:col min="8" max="8" width="25.979999542236328" hidden="0" customWidth="1"/>
    <x:col min="9" max="9" width="15.609999656677246" hidden="0" customWidth="1"/>
    <x:col min="10" max="10" width="42.2599983215332" hidden="0" customWidth="1"/>
    <x:col min="11" max="11" width="13.1899995803833" hidden="0" customWidth="1"/>
  </x:cols>
  <x:sheetData>
    <x:row r="1">
      <x:c r="A1" s="24" t="str">
        <x:v>ID_Insumo</x:v>
      </x:c>
      <x:c r="B1" s="24" t="str">
        <x:v>Nombre</x:v>
      </x:c>
      <x:c r="C1" s="24" t="str">
        <x:v>Tipo</x:v>
      </x:c>
      <x:c r="D1" s="24" t="str">
        <x:v>Disponible</x:v>
      </x:c>
      <x:c r="E1" s="24" t="str">
        <x:v>Uso_Principal</x:v>
      </x:c>
      <x:c r="F1" s="24" t="str">
        <x:v>Restricciones/Notas</x:v>
      </x:c>
      <x:c r="G1" s="24" t="str">
        <x:v>Compra_Requerida</x:v>
      </x:c>
      <x:c r="H1" s="24" t="str">
        <x:v>Cantidad_Guia</x:v>
      </x:c>
      <x:c r="I1" s="24" t="str">
        <x:v>Unidad_Medida</x:v>
      </x:c>
      <x:c r="J1" s="24" t="str">
        <x:v>Momento_Aplicacion</x:v>
      </x:c>
      <x:c r="K1" s="24" t="str">
        <x:v>Frecuencia_Dias</x:v>
      </x:c>
    </x:row>
    <x:row r="2">
      <x:c r="A2" s="11" t="str">
        <x:v>INS_COBRE</x:v>
      </x:c>
      <x:c r="B2" s="11" t="str">
        <x:v>Cobre</x:v>
      </x:c>
      <x:c r="C2" s="11" t="str">
        <x:v>Control fitosanitario</x:v>
      </x:c>
      <x:c r="D2" s="11" t="str">
        <x:v>Sí</x:v>
      </x:c>
      <x:c r="E2" s="11" t="str">
        <x:v>Hongos/bacteriosis preventivo</x:v>
      </x:c>
      <x:c r="F2" s="11" t="str">
        <x:v>Evitar mezcla incompatible; aplicar temprano/tarde</x:v>
      </x:c>
      <x:c r="G2" s="11" t="str">
        <x:v>No</x:v>
      </x:c>
      <x:c r="H2" s="11" t="str">
        <x:v>Según etiqueta</x:v>
      </x:c>
      <x:c r="I2" s="11" t="str">
        <x:v>ml/L o g/L</x:v>
      </x:c>
      <x:c r="J2" s="11" t="str">
        <x:v>Alta humedad / prevención hongos</x:v>
      </x:c>
      <x:c r="K2" s="11" t="n">
        <x:v>14</x:v>
      </x:c>
    </x:row>
    <x:row r="3">
      <x:c r="A3" s="11" t="str">
        <x:v>INS_NEEM</x:v>
      </x:c>
      <x:c r="B3" s="11" t="str">
        <x:v>Neem</x:v>
      </x:c>
      <x:c r="C3" s="11" t="str">
        <x:v>Control fitosanitario</x:v>
      </x:c>
      <x:c r="D3" s="11" t="str">
        <x:v>Sí</x:v>
      </x:c>
      <x:c r="E3" s="11" t="str">
        <x:v>Insectos chupadores / preventivo suave</x:v>
      </x:c>
      <x:c r="F3" s="11" t="str">
        <x:v>No aplicar con sol fuerte; verificar etiqueta</x:v>
      </x:c>
      <x:c r="G3" s="11" t="str">
        <x:v>No</x:v>
      </x:c>
      <x:c r="H3" s="11" t="str">
        <x:v>Según etiqueta</x:v>
      </x:c>
      <x:c r="I3" s="11" t="str">
        <x:v>ml/L</x:v>
      </x:c>
      <x:c r="J3" s="11" t="str">
        <x:v>Preventivo / presión baja de plaga</x:v>
      </x:c>
      <x:c r="K3" s="11" t="n">
        <x:v>10</x:v>
      </x:c>
    </x:row>
    <x:row r="4">
      <x:c r="A4" s="11" t="str">
        <x:v>INS_JABON_POTASICO</x:v>
      </x:c>
      <x:c r="B4" s="11" t="str">
        <x:v>Jabón potásico</x:v>
      </x:c>
      <x:c r="C4" s="11" t="str">
        <x:v>Control fitosanitario</x:v>
      </x:c>
      <x:c r="D4" s="11" t="str">
        <x:v>Sí</x:v>
      </x:c>
      <x:c r="E4" s="11" t="str">
        <x:v>Insectos blandos y limpieza de melaza</x:v>
      </x:c>
      <x:c r="F4" s="11" t="str">
        <x:v>Probar en pocas hojas primero</x:v>
      </x:c>
      <x:c r="G4" s="11" t="str">
        <x:v>No</x:v>
      </x:c>
      <x:c r="H4" s="11" t="str">
        <x:v>Según etiqueta</x:v>
      </x:c>
      <x:c r="I4" s="11" t="str">
        <x:v>ml/L</x:v>
      </x:c>
      <x:c r="J4" s="11" t="str">
        <x:v>Presencia de áfidos/cochinilla/mosca blanca</x:v>
      </x:c>
      <x:c r="K4" s="11" t="n">
        <x:v>7</x:v>
      </x:c>
    </x:row>
    <x:row r="5">
      <x:c r="A5" s="11" t="str">
        <x:v>INS_MISTRAL</x:v>
      </x:c>
      <x:c r="B5" s="11" t="str">
        <x:v>Mistral</x:v>
      </x:c>
      <x:c r="C5" s="11" t="str">
        <x:v>Control fitosanitario</x:v>
      </x:c>
      <x:c r="D5" s="11" t="str">
        <x:v>Sí</x:v>
      </x:c>
      <x:c r="E5" s="11" t="str">
        <x:v>Control fitosanitario correctivo/preventivo</x:v>
      </x:c>
      <x:c r="F5" s="11" t="str">
        <x:v>Usar solo cuando corresponda; respetar etiqueta</x:v>
      </x:c>
      <x:c r="G5" s="11" t="str">
        <x:v>No</x:v>
      </x:c>
      <x:c r="H5" s="11" t="str">
        <x:v>Según etiqueta</x:v>
      </x:c>
      <x:c r="I5" s="11" t="str">
        <x:v>ml/L o g/L</x:v>
      </x:c>
      <x:c r="J5" s="11" t="str">
        <x:v>Presión sanitaria / calendario preventivo</x:v>
      </x:c>
      <x:c r="K5" s="11" t="n">
        <x:v>15</x:v>
      </x:c>
    </x:row>
    <x:row r="6">
      <x:c r="A6" s="11" t="str">
        <x:v>INS_BICARBONATO</x:v>
      </x:c>
      <x:c r="B6" s="11" t="str">
        <x:v>Bicarbonato de sodio</x:v>
      </x:c>
      <x:c r="C6" s="11" t="str">
        <x:v>Control fitosanitario</x:v>
      </x:c>
      <x:c r="D6" s="11" t="str">
        <x:v>Sí</x:v>
      </x:c>
      <x:c r="E6" s="11" t="str">
        <x:v>Apoyo preventivo en hongos superficiales</x:v>
      </x:c>
      <x:c r="F6" s="11" t="str">
        <x:v>Evitar exceso; puede quemar hojas</x:v>
      </x:c>
      <x:c r="G6" s="11" t="str">
        <x:v>No</x:v>
      </x:c>
      <x:c r="H6" s="11" t="str">
        <x:v>Baja dosis</x:v>
      </x:c>
      <x:c r="I6" s="11" t="str">
        <x:v>g/L</x:v>
      </x:c>
      <x:c r="J6" s="11" t="str">
        <x:v>Prevención ligera / humedad alta</x:v>
      </x:c>
      <x:c r="K6" s="11" t="n">
        <x:v>7</x:v>
      </x:c>
    </x:row>
    <x:row r="7">
      <x:c r="A7" s="11" t="str">
        <x:v>INS_CAL_DOLOMITA</x:v>
      </x:c>
      <x:c r="B7" s="11" t="str">
        <x:v>Cal dolomita</x:v>
      </x:c>
      <x:c r="C7" s="11" t="str">
        <x:v>Abono tierra</x:v>
      </x:c>
      <x:c r="D7" s="11" t="str">
        <x:v>Sí</x:v>
      </x:c>
      <x:c r="E7" s="11" t="str">
        <x:v>Enmienda de suelo, calcio/magnesio</x:v>
      </x:c>
      <x:c r="F7" s="11" t="str">
        <x:v>No tocar tronco; ideal corona con distancia</x:v>
      </x:c>
      <x:c r="G7" s="11" t="str">
        <x:v>No</x:v>
      </x:c>
      <x:c r="H7" s="11" t="str">
        <x:v>Según tamaño/edad del árbol</x:v>
      </x:c>
      <x:c r="I7" s="11" t="str">
        <x:v>kg/árbol o g/cama</x:v>
      </x:c>
      <x:c r="J7" s="11" t="str">
        <x:v>Postcosecha / enmienda de corona</x:v>
      </x:c>
      <x:c r="K7" s="11" t="n">
        <x:v>180</x:v>
      </x:c>
    </x:row>
    <x:row r="8">
      <x:c r="A8" s="11" t="str">
        <x:v>INS_CENIZA</x:v>
      </x:c>
      <x:c r="B8" s="11" t="str">
        <x:v>Ceniza</x:v>
      </x:c>
      <x:c r="C8" s="11" t="str">
        <x:v>Abono tierra</x:v>
      </x:c>
      <x:c r="D8" s="11" t="str">
        <x:v>Sí</x:v>
      </x:c>
      <x:c r="E8" s="11" t="str">
        <x:v>Potasio/enmienda ligera</x:v>
      </x:c>
      <x:c r="F8" s="11" t="str">
        <x:v>Usar moderado; no exceder en suelos alcalinos</x:v>
      </x:c>
      <x:c r="G8" s="11" t="str">
        <x:v>No</x:v>
      </x:c>
      <x:c r="H8" s="11" t="str">
        <x:v>Puñado controlado</x:v>
      </x:c>
      <x:c r="I8" s="11" t="str">
        <x:v>g/cama o g/árbol</x:v>
      </x:c>
      <x:c r="J8" s="11" t="str">
        <x:v>Postcosecha / crecimiento</x:v>
      </x:c>
      <x:c r="K8" s="11" t="n">
        <x:v>45</x:v>
      </x:c>
    </x:row>
    <x:row r="9">
      <x:c r="A9" s="11" t="str">
        <x:v>INS_MELASA</x:v>
      </x:c>
      <x:c r="B9" s="11" t="str">
        <x:v>Melasa</x:v>
      </x:c>
      <x:c r="C9" s="11" t="str">
        <x:v>Abono tierra</x:v>
      </x:c>
      <x:c r="D9" s="11" t="str">
        <x:v>Sí</x:v>
      </x:c>
      <x:c r="E9" s="11" t="str">
        <x:v>Apoyo microbiológico / mezcla compost</x:v>
      </x:c>
      <x:c r="F9" s="11" t="str">
        <x:v>No exceder; evitar atraer hormigas</x:v>
      </x:c>
      <x:c r="G9" s="11" t="str">
        <x:v>No</x:v>
      </x:c>
      <x:c r="H9" s="11" t="str">
        <x:v>Baja dosis</x:v>
      </x:c>
      <x:c r="I9" s="11" t="str">
        <x:v>ml/L</x:v>
      </x:c>
      <x:c r="J9" s="11" t="str">
        <x:v>Activación biológica / compost</x:v>
      </x:c>
      <x:c r="K9" s="11" t="n">
        <x:v>30</x:v>
      </x:c>
    </x:row>
    <x:row r="10">
      <x:c r="A10" s="11" t="str">
        <x:v>INS_COMPOST</x:v>
      </x:c>
      <x:c r="B10" s="11" t="str">
        <x:v>Compost</x:v>
      </x:c>
      <x:c r="C10" s="11" t="str">
        <x:v>Abono tierra</x:v>
      </x:c>
      <x:c r="D10" s="11" t="str">
        <x:v>Sí</x:v>
      </x:c>
      <x:c r="E10" s="11" t="str">
        <x:v>Materia orgánica y estructura de suelo</x:v>
      </x:c>
      <x:c r="F10" s="11" t="str">
        <x:v>No cubrir pegado al tronco</x:v>
      </x:c>
      <x:c r="G10" s="11" t="str">
        <x:v>No</x:v>
      </x:c>
      <x:c r="H10" s="11" t="str">
        <x:v>Capa superficial</x:v>
      </x:c>
      <x:c r="I10" s="11" t="str">
        <x:v>kg/cama o kg/árbol</x:v>
      </x:c>
      <x:c r="J10" s="11" t="str">
        <x:v>Siembra / postcosecha / mantenimiento</x:v>
      </x:c>
      <x:c r="K10" s="11" t="n">
        <x:v>60</x:v>
      </x:c>
    </x:row>
    <x:row r="11">
      <x:c r="A11" s="11" t="str">
        <x:v>INS_HENO</x:v>
      </x:c>
      <x:c r="B11" s="11" t="str">
        <x:v>Heno</x:v>
      </x:c>
      <x:c r="C11" s="11" t="str">
        <x:v>Abono tierra</x:v>
      </x:c>
      <x:c r="D11" s="11" t="str">
        <x:v>Sí</x:v>
      </x:c>
      <x:c r="E11" s="11" t="str">
        <x:v>Cobertura/mulch y humedad</x:v>
      </x:c>
      <x:c r="F11" s="11" t="str">
        <x:v>No tocar base del tronco</x:v>
      </x:c>
      <x:c r="G11" s="11" t="str">
        <x:v>No</x:v>
      </x:c>
      <x:c r="H11" s="11" t="str">
        <x:v>Capa de cobertura</x:v>
      </x:c>
      <x:c r="I11" s="11" t="str">
        <x:v>cm de cobertura</x:v>
      </x:c>
      <x:c r="J11" s="11" t="str">
        <x:v>Época seca / conservación humedad</x:v>
      </x:c>
      <x:c r="K11" s="11" t="n">
        <x:v>60</x:v>
      </x:c>
    </x:row>
    <x:row r="12">
      <x:c r="A12" s="11" t="str">
        <x:v>INS_GALLINAZA</x:v>
      </x:c>
      <x:c r="B12" s="11" t="str">
        <x:v>Gallinaza</x:v>
      </x:c>
      <x:c r="C12" s="11" t="str">
        <x:v>Abono tierra</x:v>
      </x:c>
      <x:c r="D12" s="11" t="str">
        <x:v>Sí</x:v>
      </x:c>
      <x:c r="E12" s="11" t="str">
        <x:v>Nitrógeno y fertilidad de suelo</x:v>
      </x:c>
      <x:c r="F12" s="11" t="str">
        <x:v>Debe estar compostada; puede quemar</x:v>
      </x:c>
      <x:c r="G12" s="11" t="str">
        <x:v>No</x:v>
      </x:c>
      <x:c r="H12" s="11" t="str">
        <x:v>Muy moderado</x:v>
      </x:c>
      <x:c r="I12" s="11" t="str">
        <x:v>g/cama o g/árbol</x:v>
      </x:c>
      <x:c r="J12" s="11" t="str">
        <x:v>Vegetativo / recuperación</x:v>
      </x:c>
      <x:c r="K12" s="11" t="n">
        <x:v>60</x:v>
      </x:c>
    </x:row>
    <x:row r="13">
      <x:c r="A13" s="11" t="str">
        <x:v>INS_YARAMILA</x:v>
      </x:c>
      <x:c r="B13" s="11" t="str">
        <x:v>YaraMila</x:v>
      </x:c>
      <x:c r="C13" s="11" t="str">
        <x:v>Abono tierra</x:v>
      </x:c>
      <x:c r="D13" s="11" t="str">
        <x:v>Sí</x:v>
      </x:c>
      <x:c r="E13" s="11" t="str">
        <x:v>Fertilización NPK para crecimiento/fructificación</x:v>
      </x:c>
      <x:c r="F13" s="11" t="str">
        <x:v>Evitar estrés hídrico; ajustar a tamaño del árbol</x:v>
      </x:c>
      <x:c r="G13" s="11" t="str">
        <x:v>No</x:v>
      </x:c>
      <x:c r="H13" s="11" t="str">
        <x:v>Según tamaño/edad; iniciar bajo</x:v>
      </x:c>
      <x:c r="I13" s="11" t="str">
        <x:v>g/árbol o g/cama</x:v>
      </x:c>
      <x:c r="J13" s="11" t="str">
        <x:v>Vegetativo / postcosecha / prefloración según cultivo</x:v>
      </x:c>
      <x:c r="K13" s="11" t="n">
        <x:v>60</x:v>
      </x:c>
    </x:row>
    <x:row r="14">
      <x:c r="A14" s="11" t="str">
        <x:v>INS_CALCIO_BORO</x:v>
      </x:c>
      <x:c r="B14" s="11" t="str">
        <x:v>Calcio Boro</x:v>
      </x:c>
      <x:c r="C14" s="11" t="str">
        <x:v>Abono foliar</x:v>
      </x:c>
      <x:c r="D14" s="11" t="str">
        <x:v>Sí</x:v>
      </x:c>
      <x:c r="E14" s="11" t="str">
        <x:v>Floración, cuajado y llenado temprano</x:v>
      </x:c>
      <x:c r="F14" s="11" t="str">
        <x:v>No aplicar con calor fuerte; revisar mezcla</x:v>
      </x:c>
      <x:c r="G14" s="11" t="str">
        <x:v>No</x:v>
      </x:c>
      <x:c r="H14" s="11" t="str">
        <x:v>Según etiqueta</x:v>
      </x:c>
      <x:c r="I14" s="11" t="str">
        <x:v>ml/L</x:v>
      </x:c>
      <x:c r="J14" s="11" t="str">
        <x:v>Floración / cuajado / llenado temprano</x:v>
      </x:c>
      <x:c r="K14" s="11" t="n">
        <x:v>10</x:v>
      </x:c>
    </x:row>
    <x:row r="15">
      <x:c r="A15" s="11" t="str">
        <x:v>INS_MULTIMINERAL</x:v>
      </x:c>
      <x:c r="B15" s="11" t="str">
        <x:v>Multimineral</x:v>
      </x:c>
      <x:c r="C15" s="11" t="str">
        <x:v>Abono foliar</x:v>
      </x:c>
      <x:c r="D15" s="11" t="str">
        <x:v>Sí</x:v>
      </x:c>
      <x:c r="E15" s="11" t="str">
        <x:v>Micronutrientes y apoyo general</x:v>
      </x:c>
      <x:c r="F15" s="11" t="str">
        <x:v>No mezclar sin validar compatibilidad</x:v>
      </x:c>
      <x:c r="G15" s="11" t="str">
        <x:v>No</x:v>
      </x:c>
      <x:c r="H15" s="11" t="str">
        <x:v>Según etiqueta</x:v>
      </x:c>
      <x:c r="I15" s="11" t="str">
        <x:v>ml/L</x:v>
      </x:c>
      <x:c r="J15" s="11" t="str">
        <x:v>Vegetativo / recuperación / soporte general</x:v>
      </x:c>
      <x:c r="K15" s="11" t="n">
        <x:v>21</x:v>
      </x:c>
    </x:row>
    <x:row r="16">
      <x:c r="A16" s="11" t="str">
        <x:v>INS_FOLIAR_7_4_25</x:v>
      </x:c>
      <x:c r="B16" s="11" t="str">
        <x:v>Foliar 7-4-25</x:v>
      </x:c>
      <x:c r="C16" s="11" t="str">
        <x:v>Abono foliar</x:v>
      </x:c>
      <x:c r="D16" s="11" t="str">
        <x:v>Sí</x:v>
      </x:c>
      <x:c r="E16" s="11" t="str">
        <x:v>Apoyo potasio/llenado</x:v>
      </x:c>
      <x:c r="F16" s="11" t="str">
        <x:v>Evitar exceso; aplicar temprano/tarde</x:v>
      </x:c>
      <x:c r="G16" s="11" t="str">
        <x:v>No</x:v>
      </x:c>
      <x:c r="H16" s="11" t="str">
        <x:v>Según etiqueta</x:v>
      </x:c>
      <x:c r="I16" s="11" t="str">
        <x:v>ml/L</x:v>
      </x:c>
      <x:c r="J16" s="11" t="str">
        <x:v>Llenado de fruto / desarrollo</x:v>
      </x:c>
      <x:c r="K16" s="11" t="n">
        <x:v>15</x:v>
      </x:c>
    </x:row>
    <x:row r="17">
      <x:c r="A17" s="11" t="str">
        <x:v>INS_PAS80</x:v>
      </x:c>
      <x:c r="B17" s="11" t="str">
        <x:v>PAS-80</x:v>
      </x:c>
      <x:c r="C17" s="11" t="str">
        <x:v>Coadyuvante</x:v>
      </x:c>
      <x:c r="D17" s="11" t="str">
        <x:v>Sí</x:v>
      </x:c>
      <x:c r="E17" s="11" t="str">
        <x:v>Adherente/dispersante para mezcla</x:v>
      </x:c>
      <x:c r="F17" s="11" t="str">
        <x:v>Usar dosis indicada; no guardar mezcla vieja</x:v>
      </x:c>
      <x:c r="G17" s="11" t="str">
        <x:v>No</x:v>
      </x:c>
      <x:c r="H17" s="11" t="str">
        <x:v>Según etiqueta</x:v>
      </x:c>
      <x:c r="I17" s="11" t="str">
        <x:v>ml/L</x:v>
      </x:c>
      <x:c r="J17" s="11" t="str">
        <x:v>Cuando la mezcla foliar lo requiera</x:v>
      </x:c>
      <x:c r="K17" s="11" t="n">
        <x:v>0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3.420000076293945" hidden="0" customWidth="1"/>
    <x:col min="2" max="2" width="11.4399995803833" hidden="0" customWidth="1"/>
    <x:col min="3" max="3" width="11.84000015258789" hidden="0" customWidth="1"/>
    <x:col min="4" max="4" width="15.069999694824219" hidden="0" customWidth="1"/>
    <x:col min="5" max="5" width="15.069999694824219" hidden="0" customWidth="1"/>
    <x:col min="6" max="6" width="4.440000057220459" hidden="0" customWidth="1"/>
    <x:col min="7" max="7" width="16.81999969482422" hidden="0" customWidth="1"/>
    <x:col min="8" max="8" width="14.130000114440918" hidden="0" customWidth="1"/>
    <x:col min="9" max="9" width="13.729999542236328" hidden="0" customWidth="1"/>
    <x:col min="10" max="10" width="32.29999923706055" hidden="0" customWidth="1"/>
  </x:cols>
  <x:sheetData>
    <x:row r="1">
      <x:c r="A1" s="24" t="str">
        <x:v>Arbol_ID</x:v>
      </x:c>
      <x:c r="B1" s="24" t="str">
        <x:v>Finca_ID</x:v>
      </x:c>
      <x:c r="C1" s="24" t="str">
        <x:v>Finca_Nombre</x:v>
      </x:c>
      <x:c r="D1" s="24" t="str">
        <x:v>Arbol_Nombre</x:v>
      </x:c>
      <x:c r="E1" s="24" t="str">
        <x:v>Especie</x:v>
      </x:c>
      <x:c r="F1" s="24" t="str">
        <x:v>Icono</x:v>
      </x:c>
      <x:c r="G1" s="24" t="str">
        <x:v>Estado_Fenologico</x:v>
      </x:c>
      <x:c r="H1" s="24" t="str">
        <x:v>Fecha_Trasplante</x:v>
      </x:c>
      <x:c r="I1" s="24" t="str">
        <x:v>Estado_Sanitario</x:v>
      </x:c>
      <x:c r="J1" s="24" t="str">
        <x:v>Notas</x:v>
      </x:c>
    </x:row>
    <x:row r="2">
      <x:c r="A2" s="11" t="str">
        <x:v>ARB_MANZANO_MORAVIA</x:v>
      </x:c>
      <x:c r="B2" s="11" t="str">
        <x:v>FIN_MORAVIA</x:v>
      </x:c>
      <x:c r="C2" s="11" t="str">
        <x:v>Moravia</x:v>
      </x:c>
      <x:c r="D2" s="11" t="str">
        <x:v>Manzano tico</x:v>
      </x:c>
      <x:c r="E2" s="11" t="str">
        <x:v>Manzano</x:v>
      </x:c>
      <x:c r="F2" s="11" t="str">
        <x:v>🍎</x:v>
      </x:c>
      <x:c r="G2" s="11" t="str">
        <x:v>Llenado de fruto</x:v>
      </x:c>
      <x:c r="H2" s="14"/>
      <x:c r="I2" s="11" t="str">
        <x:v>Bueno</x:v>
      </x:c>
      <x:c r="J2" s="11" t="str">
        <x:v>Poda y amarre previos; revisar chupones</x:v>
      </x:c>
    </x:row>
    <x:row r="3">
      <x:c r="A3" s="11" t="str">
        <x:v>ARB_GUAYABITA_MORAVIA</x:v>
      </x:c>
      <x:c r="B3" s="11" t="str">
        <x:v>FIN_MORAVIA</x:v>
      </x:c>
      <x:c r="C3" s="11" t="str">
        <x:v>Moravia</x:v>
      </x:c>
      <x:c r="D3" s="11" t="str">
        <x:v>Guayabita del Perú</x:v>
      </x:c>
      <x:c r="E3" s="11" t="str">
        <x:v>Guayabita del Perú</x:v>
      </x:c>
      <x:c r="F3" s="11" t="str">
        <x:v>🍈</x:v>
      </x:c>
      <x:c r="G3" s="11" t="str">
        <x:v>Vegetativo</x:v>
      </x:c>
      <x:c r="H3" s="14"/>
      <x:c r="I3" s="11" t="str">
        <x:v>Bueno</x:v>
      </x:c>
      <x:c r="J3" s="11" t="str">
        <x:v>Unidad distinta de Guayaba Frailes</x:v>
      </x:c>
    </x:row>
    <x:row r="4">
      <x:c r="A4" s="11" t="str">
        <x:v>ARB_GUAYABA_FRAILES</x:v>
      </x:c>
      <x:c r="B4" s="11" t="str">
        <x:v>FIN_FRAILES</x:v>
      </x:c>
      <x:c r="C4" s="11" t="str">
        <x:v>Frailes</x:v>
      </x:c>
      <x:c r="D4" s="11" t="str">
        <x:v>Guayaba</x:v>
      </x:c>
      <x:c r="E4" s="11" t="str">
        <x:v>Guayaba</x:v>
      </x:c>
      <x:c r="F4" s="11" t="str">
        <x:v>🍐</x:v>
      </x:c>
      <x:c r="G4" s="11" t="str">
        <x:v>Vegetativo</x:v>
      </x:c>
      <x:c r="H4" s="14"/>
      <x:c r="I4" s="11" t="str">
        <x:v>Bueno</x:v>
      </x:c>
      <x:c r="J4" s="11" t="str">
        <x:v>Guayaba en Frailes</x:v>
      </x:c>
    </x:row>
    <x:row r="5">
      <x:c r="A5" s="11" t="str">
        <x:v>ARB_GUANABANA_FRAILES</x:v>
      </x:c>
      <x:c r="B5" s="11" t="str">
        <x:v>FIN_FRAILES</x:v>
      </x:c>
      <x:c r="C5" s="11" t="str">
        <x:v>Frailes</x:v>
      </x:c>
      <x:c r="D5" s="11" t="str">
        <x:v>Guanábana</x:v>
      </x:c>
      <x:c r="E5" s="11" t="str">
        <x:v>Guanábana</x:v>
      </x:c>
      <x:c r="F5" s="11" t="str">
        <x:v>🍈</x:v>
      </x:c>
      <x:c r="G5" s="11" t="str">
        <x:v>Fructificación</x:v>
      </x:c>
      <x:c r="H5" s="14"/>
      <x:c r="I5" s="11" t="str">
        <x:v>Atención</x:v>
      </x:c>
      <x:c r="J5" s="11" t="str">
        <x:v>Puntos negros en frutos</x:v>
      </x:c>
    </x:row>
    <x:row r="6">
      <x:c r="A6" s="11" t="str">
        <x:v>ARB_MANGO_FRAILES</x:v>
      </x:c>
      <x:c r="B6" s="11" t="str">
        <x:v>FIN_FRAILES</x:v>
      </x:c>
      <x:c r="C6" s="11" t="str">
        <x:v>Frailes</x:v>
      </x:c>
      <x:c r="D6" s="11" t="str">
        <x:v>Mango</x:v>
      </x:c>
      <x:c r="E6" s="11" t="str">
        <x:v>Mango</x:v>
      </x:c>
      <x:c r="F6" s="11" t="str">
        <x:v>🥭</x:v>
      </x:c>
      <x:c r="G6" s="11" t="str">
        <x:v>Vegetativo</x:v>
      </x:c>
      <x:c r="H6" s="14"/>
      <x:c r="I6" s="11" t="str">
        <x:v>Bueno</x:v>
      </x:c>
      <x:c r="J6" s="11" t="str">
        <x:v>Mango peludo adulto</x:v>
      </x:c>
    </x:row>
    <x:row r="7">
      <x:c r="A7" s="11" t="str">
        <x:v>ARB_ANONA_FRAILES</x:v>
      </x:c>
      <x:c r="B7" s="11" t="str">
        <x:v>FIN_FRAILES</x:v>
      </x:c>
      <x:c r="C7" s="11" t="str">
        <x:v>Frailes</x:v>
      </x:c>
      <x:c r="D7" s="11" t="str">
        <x:v>Anona</x:v>
      </x:c>
      <x:c r="E7" s="11" t="str">
        <x:v>Anona</x:v>
      </x:c>
      <x:c r="F7" s="11" t="str">
        <x:v>🍈</x:v>
      </x:c>
      <x:c r="G7" s="11" t="str">
        <x:v>Estrés / recuperación</x:v>
      </x:c>
      <x:c r="H7" s="14"/>
      <x:c r="I7" s="11" t="str">
        <x:v>Atención</x:v>
      </x:c>
      <x:c r="J7" s="11" t="str">
        <x:v>Historial de defoliación</x:v>
      </x:c>
    </x:row>
    <x:row r="8">
      <x:c r="A8" s="11" t="str">
        <x:v>ARB_NISPERO_FRAILES</x:v>
      </x:c>
      <x:c r="B8" s="11" t="str">
        <x:v>FIN_FRAILES</x:v>
      </x:c>
      <x:c r="C8" s="11" t="str">
        <x:v>Frailes</x:v>
      </x:c>
      <x:c r="D8" s="11" t="str">
        <x:v>Níspero</x:v>
      </x:c>
      <x:c r="E8" s="11" t="str">
        <x:v>Níspero</x:v>
      </x:c>
      <x:c r="F8" s="11" t="str">
        <x:v>🌳</x:v>
      </x:c>
      <x:c r="G8" s="11" t="str">
        <x:v>Vegetativo</x:v>
      </x:c>
      <x:c r="H8" s="14" t="n">
        <x:v>45853</x:v>
      </x:c>
      <x:c r="I8" s="11" t="str">
        <x:v>Bueno</x:v>
      </x:c>
      <x:c r="J8" s="11" t="str">
        <x:v>Árbol joven</x:v>
      </x:c>
    </x:row>
    <x:row r="9">
      <x:c r="A9" s="11" t="str">
        <x:v>ARB_MANDARINA_FRAILES</x:v>
      </x:c>
      <x:c r="B9" s="11" t="str">
        <x:v>FIN_FRAILES</x:v>
      </x:c>
      <x:c r="C9" s="11" t="str">
        <x:v>Frailes</x:v>
      </x:c>
      <x:c r="D9" s="11" t="str">
        <x:v>Mandarina</x:v>
      </x:c>
      <x:c r="E9" s="11" t="str">
        <x:v>Mandarina</x:v>
      </x:c>
      <x:c r="F9" s="11" t="str">
        <x:v>🍊</x:v>
      </x:c>
      <x:c r="G9" s="11" t="str">
        <x:v>Vegetativo</x:v>
      </x:c>
      <x:c r="H9" s="14" t="n">
        <x:v>45853</x:v>
      </x:c>
      <x:c r="I9" s="11" t="str">
        <x:v>Bueno</x:v>
      </x:c>
      <x:c r="J9" s="11" t="str">
        <x:v>Trasplante reciente en Frailes</x:v>
      </x:c>
    </x:row>
    <x:row r="10">
      <x:c r="A10" s="11" t="str">
        <x:v>ARB_LIMON_DULCE_FRAILES</x:v>
      </x:c>
      <x:c r="B10" s="11" t="str">
        <x:v>FIN_FRAILES</x:v>
      </x:c>
      <x:c r="C10" s="11" t="str">
        <x:v>Frailes</x:v>
      </x:c>
      <x:c r="D10" s="11" t="str">
        <x:v>Limón dulce</x:v>
      </x:c>
      <x:c r="E10" s="11" t="str">
        <x:v>Limón</x:v>
      </x:c>
      <x:c r="F10" s="11" t="str">
        <x:v>🍋</x:v>
      </x:c>
      <x:c r="G10" s="11" t="str">
        <x:v>Vegetativo</x:v>
      </x:c>
      <x:c r="H10" s="14" t="n">
        <x:v>45853</x:v>
      </x:c>
      <x:c r="I10" s="11" t="str">
        <x:v>Bueno</x:v>
      </x:c>
      <x:c r="J10" s="11" t="str">
        <x:v>Cítrico joven</x:v>
      </x:c>
    </x:row>
    <x:row r="11">
      <x:c r="A11" s="11" t="str">
        <x:v>ARB_NARANJA_FRAILES</x:v>
      </x:c>
      <x:c r="B11" s="11" t="str">
        <x:v>FIN_FRAILES</x:v>
      </x:c>
      <x:c r="C11" s="11" t="str">
        <x:v>Frailes</x:v>
      </x:c>
      <x:c r="D11" s="11" t="str">
        <x:v>Naranja</x:v>
      </x:c>
      <x:c r="E11" s="11" t="str">
        <x:v>Naranja</x:v>
      </x:c>
      <x:c r="F11" s="11" t="str">
        <x:v>🍊</x:v>
      </x:c>
      <x:c r="G11" s="11" t="str">
        <x:v>Vegetativo</x:v>
      </x:c>
      <x:c r="H11" s="14" t="n">
        <x:v>45853</x:v>
      </x:c>
      <x:c r="I11" s="11" t="str">
        <x:v>Bueno</x:v>
      </x:c>
      <x:c r="J11" s="11" t="str">
        <x:v>Cítrico joven</x:v>
      </x:c>
    </x:row>
    <x:row r="12">
      <x:c r="A12" s="11" t="str">
        <x:v>ARB_CARAMBOLA_FRAILES</x:v>
      </x:c>
      <x:c r="B12" s="11" t="str">
        <x:v>FIN_FRAILES</x:v>
      </x:c>
      <x:c r="C12" s="11" t="str">
        <x:v>Frailes</x:v>
      </x:c>
      <x:c r="D12" s="11" t="str">
        <x:v>Carambola</x:v>
      </x:c>
      <x:c r="E12" s="11" t="str">
        <x:v>Carambola</x:v>
      </x:c>
      <x:c r="F12" s="11" t="str">
        <x:v>⭐</x:v>
      </x:c>
      <x:c r="G12" s="11" t="str">
        <x:v>Vegetativo</x:v>
      </x:c>
      <x:c r="H12" s="14"/>
      <x:c r="I12" s="11" t="str">
        <x:v>Bueno</x:v>
      </x:c>
      <x:c r="J12" s="11" t="str"/>
    </x:row>
    <x:row r="13">
      <x:c r="H13" s="18"/>
    </x:row>
    <x:row r="14">
      <x:c r="H14" s="18"/>
    </x:row>
    <x:row r="15">
      <x:c r="H15" s="18"/>
    </x:row>
    <x:row r="16">
      <x:c r="H16" s="18"/>
    </x:row>
    <x:row r="17">
      <x:c r="H17" s="18"/>
    </x:row>
    <x:row r="18">
      <x:c r="H18" s="18"/>
    </x:row>
    <x:row r="19">
      <x:c r="H19" s="18"/>
    </x:row>
    <x:row r="20">
      <x:c r="H20" s="18"/>
    </x:row>
    <x:row r="21">
      <x:c r="H21" s="18"/>
    </x:row>
    <x:row r="22">
      <x:c r="H22" s="18"/>
    </x:row>
    <x:row r="23">
      <x:c r="H23" s="18"/>
    </x:row>
    <x:row r="24">
      <x:c r="H24" s="18"/>
    </x:row>
    <x:row r="25">
      <x:c r="H25" s="18"/>
    </x:row>
    <x:row r="26">
      <x:c r="H26" s="18"/>
    </x:row>
    <x:row r="27">
      <x:c r="H27" s="18"/>
    </x:row>
    <x:row r="28">
      <x:c r="H28" s="18"/>
    </x:row>
    <x:row r="29">
      <x:c r="H29" s="18"/>
    </x:row>
    <x:row r="30">
      <x:c r="H30" s="18"/>
    </x:row>
    <x:row r="31">
      <x:c r="H31" s="18"/>
    </x:row>
    <x:row r="32">
      <x:c r="H32" s="18"/>
    </x:row>
    <x:row r="33">
      <x:c r="H33" s="18"/>
    </x:row>
    <x:row r="34">
      <x:c r="H34" s="18"/>
    </x:row>
    <x:row r="35">
      <x:c r="H35" s="18"/>
    </x:row>
    <x:row r="36">
      <x:c r="H36" s="18"/>
    </x:row>
    <x:row r="37">
      <x:c r="H37" s="18"/>
    </x:row>
    <x:row r="38">
      <x:c r="H38" s="18"/>
    </x:row>
    <x:row r="39">
      <x:c r="H39" s="18"/>
    </x:row>
    <x:row r="40">
      <x:c r="H40" s="18"/>
    </x:row>
    <x:row r="41">
      <x:c r="H41" s="18"/>
    </x:row>
    <x:row r="42">
      <x:c r="H42" s="18"/>
    </x:row>
    <x:row r="43">
      <x:c r="H43" s="18"/>
    </x:row>
    <x:row r="44">
      <x:c r="H44" s="18"/>
    </x:row>
    <x:row r="45">
      <x:c r="H45" s="18"/>
    </x:row>
    <x:row r="46">
      <x:c r="H46" s="18"/>
    </x:row>
    <x:row r="47">
      <x:c r="H47" s="18"/>
    </x:row>
    <x:row r="48">
      <x:c r="H48" s="18"/>
    </x:row>
    <x:row r="49">
      <x:c r="H49" s="18"/>
    </x:row>
    <x:row r="50">
      <x:c r="H50" s="1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8.210000038146973" hidden="0" customWidth="1"/>
    <x:col min="2" max="2" width="16.020000457763672" hidden="0" customWidth="1"/>
    <x:col min="3" max="3" width="10.09000015258789" hidden="0" customWidth="1"/>
    <x:col min="4" max="4" width="11.4399995803833" hidden="0" customWidth="1"/>
    <x:col min="5" max="5" width="16.020000457763672" hidden="0" customWidth="1"/>
    <x:col min="6" max="6" width="10.359999656677246" hidden="0" customWidth="1"/>
    <x:col min="7" max="7" width="21.799999237060547" hidden="0" customWidth="1"/>
    <x:col min="8" max="8" width="13.319999694824219" hidden="0" customWidth="1"/>
    <x:col min="9" max="9" width="12.109999656677246" hidden="0" customWidth="1"/>
    <x:col min="10" max="10" width="17.899999618530273" hidden="0" customWidth="1"/>
    <x:col min="11" max="11" width="13.729999542236328" hidden="0" customWidth="1"/>
    <x:col min="12" max="12" width="15.609999656677246" hidden="0" customWidth="1"/>
    <x:col min="13" max="13" width="13.460000038146973" hidden="0" customWidth="1"/>
    <x:col min="14" max="14" width="11.039999961853027" hidden="0" customWidth="1"/>
    <x:col min="15" max="15" width="15.34000015258789" hidden="0" customWidth="1"/>
    <x:col min="16" max="16" width="14.130000114440918" hidden="0" customWidth="1"/>
    <x:col min="17" max="17" width="19.649999618530273" hidden="0" customWidth="1"/>
    <x:col min="18" max="18" width="13.1899995803833" hidden="0" customWidth="1"/>
    <x:col min="19" max="19" width="21.270000457763672" hidden="0" customWidth="1"/>
    <x:col min="20" max="20" width="23.420000076293945" hidden="0" customWidth="1"/>
  </x:cols>
  <x:sheetData>
    <x:row r="1">
      <x:c r="A1" s="24" t="str">
        <x:v>ID_Evento</x:v>
      </x:c>
      <x:c r="B1" s="24" t="str">
        <x:v>Tipo_Evento</x:v>
      </x:c>
      <x:c r="C1" s="24" t="str">
        <x:v>Objeto_Tipo</x:v>
      </x:c>
      <x:c r="D1" s="24" t="str">
        <x:v>Finca_ID</x:v>
      </x:c>
      <x:c r="E1" s="24" t="str">
        <x:v>Cama_ID</x:v>
      </x:c>
      <x:c r="F1" s="24" t="str">
        <x:v>Siembra_ID</x:v>
      </x:c>
      <x:c r="G1" s="24" t="str">
        <x:v>Arbol_ID</x:v>
      </x:c>
      <x:c r="H1" s="24" t="str">
        <x:v>Cultivo_Nombre</x:v>
      </x:c>
      <x:c r="I1" s="24" t="str">
        <x:v>Arbol_Nombre</x:v>
      </x:c>
      <x:c r="J1" s="24" t="str">
        <x:v>Insumo_ID</x:v>
      </x:c>
      <x:c r="K1" s="24" t="str">
        <x:v>Insumo_Nombre</x:v>
      </x:c>
      <x:c r="L1" s="24" t="str">
        <x:v>Fecha_Programada</x:v>
      </x:c>
      <x:c r="M1" s="24" t="str">
        <x:v>Fecha_Realizada</x:v>
      </x:c>
      <x:c r="N1" s="24" t="str">
        <x:v>Estado</x:v>
      </x:c>
      <x:c r="O1" s="24" t="str">
        <x:v>Cantidad_Aplicada</x:v>
      </x:c>
      <x:c r="P1" s="24" t="str">
        <x:v>Unidad_Cantidad</x:v>
      </x:c>
      <x:c r="Q1" s="24" t="str">
        <x:v>Momento_Aplicacion</x:v>
      </x:c>
      <x:c r="R1" s="24" t="str">
        <x:v>Frecuencia_Dias</x:v>
      </x:c>
      <x:c r="S1" s="24" t="str">
        <x:v>Proxima_Fecha_Calculada</x:v>
      </x:c>
      <x:c r="T1" s="24" t="str">
        <x:v>Notas</x:v>
      </x:c>
    </x:row>
    <x:row r="2">
      <x:c r="A2" s="11" t="str">
        <x:v>EVT_001</x:v>
      </x:c>
      <x:c r="B2" s="11" t="str">
        <x:v>Control fitosanitario</x:v>
      </x:c>
      <x:c r="C2" s="11" t="str">
        <x:v>Cultivo</x:v>
      </x:c>
      <x:c r="D2" s="11" t="str">
        <x:v>FIN_FRAILES</x:v>
      </x:c>
      <x:c r="E2" s="11" t="str">
        <x:v>UNI_FRA_CAMA_01</x:v>
      </x:c>
      <x:c r="F2" s="11" t="str">
        <x:v>SIE_FRA_003</x:v>
      </x:c>
      <x:c r="G2" s="11" t="str"/>
      <x:c r="H2" s="11" t="str">
        <x:v>Pepino</x:v>
      </x:c>
      <x:c r="I2" s="11" t="str"/>
      <x:c r="J2" s="11" t="str">
        <x:v>INS_COBRE</x:v>
      </x:c>
      <x:c r="K2" s="11" t="str">
        <x:v>Cobre</x:v>
      </x:c>
      <x:c r="L2" s="14"/>
      <x:c r="M2" s="14" t="n">
        <x:v>46152</x:v>
      </x:c>
      <x:c r="N2" s="11" t="str">
        <x:v>Completado</x:v>
      </x:c>
      <x:c r="O2" s="11" t="str">
        <x:v>Según etiqueta</x:v>
      </x:c>
      <x:c r="P2" s="11" t="str">
        <x:v>ml/L</x:v>
      </x:c>
      <x:c r="Q2" s="11" t="str">
        <x:v>Alta humedad</x:v>
      </x:c>
      <x:c r="R2" s="11" t="n">
        <x:v>14</x:v>
      </x:c>
      <x:c r="S2" s="14" t="n">
        <x:v>46166</x:v>
      </x:c>
      <x:c r="T2" s="11" t="str">
        <x:v>Control realizado en pepino</x:v>
      </x:c>
    </x:row>
    <x:row r="3">
      <x:c r="A3" s="11" t="str">
        <x:v>EVT_002</x:v>
      </x:c>
      <x:c r="B3" s="11" t="str">
        <x:v>Control fitosanitario</x:v>
      </x:c>
      <x:c r="C3" s="11" t="str">
        <x:v>Cultivo</x:v>
      </x:c>
      <x:c r="D3" s="11" t="str">
        <x:v>FIN_FRAILES</x:v>
      </x:c>
      <x:c r="E3" s="11" t="str">
        <x:v>UNI_FRA_CAMA_01</x:v>
      </x:c>
      <x:c r="F3" s="11" t="str">
        <x:v>SIE_FRA_003</x:v>
      </x:c>
      <x:c r="G3" s="11" t="str"/>
      <x:c r="H3" s="11" t="str">
        <x:v>Pepino</x:v>
      </x:c>
      <x:c r="I3" s="11" t="str"/>
      <x:c r="J3" s="11" t="str">
        <x:v>INS_MISTRAL</x:v>
      </x:c>
      <x:c r="K3" s="11" t="str">
        <x:v>Mistral</x:v>
      </x:c>
      <x:c r="L3" s="14" t="n">
        <x:v>46188</x:v>
      </x:c>
      <x:c r="M3" s="14"/>
      <x:c r="N3" s="11" t="str">
        <x:v>No empezado</x:v>
      </x:c>
      <x:c r="O3" s="11" t="str">
        <x:v>Según etiqueta</x:v>
      </x:c>
      <x:c r="P3" s="11" t="str">
        <x:v>ml/L</x:v>
      </x:c>
      <x:c r="Q3" s="11" t="str">
        <x:v>Preventivo</x:v>
      </x:c>
      <x:c r="R3" s="11" t="n">
        <x:v>15</x:v>
      </x:c>
      <x:c r="S3" s="14"/>
      <x:c r="T3" s="11" t="str">
        <x:v>Programado para pepino</x:v>
      </x:c>
    </x:row>
    <x:row r="4">
      <x:c r="A4" s="11" t="str">
        <x:v>EVT_003</x:v>
      </x:c>
      <x:c r="B4" s="11" t="str">
        <x:v>Abono tierra</x:v>
      </x:c>
      <x:c r="C4" s="11" t="str">
        <x:v>Árbol</x:v>
      </x:c>
      <x:c r="D4" s="11" t="str">
        <x:v>FIN_FRAILES</x:v>
      </x:c>
      <x:c r="E4" s="11" t="str"/>
      <x:c r="F4" s="11" t="str"/>
      <x:c r="G4" s="11" t="str">
        <x:v>ARB_GUAYABA_FRAILES</x:v>
      </x:c>
      <x:c r="H4" s="11" t="str"/>
      <x:c r="I4" s="11" t="str">
        <x:v>Guayaba</x:v>
      </x:c>
      <x:c r="J4" s="11" t="str">
        <x:v>INS_CAL_DOLOMITA</x:v>
      </x:c>
      <x:c r="K4" s="11" t="str">
        <x:v>Cal dolomita</x:v>
      </x:c>
      <x:c r="L4" s="14"/>
      <x:c r="M4" s="14" t="n">
        <x:v>46172</x:v>
      </x:c>
      <x:c r="N4" s="11" t="str">
        <x:v>Completado</x:v>
      </x:c>
      <x:c r="O4" s="11" t="str">
        <x:v>Según tamaño</x:v>
      </x:c>
      <x:c r="P4" s="11" t="str">
        <x:v>kg/árbol</x:v>
      </x:c>
      <x:c r="Q4" s="11" t="str">
        <x:v>Vegetativo / enmienda</x:v>
      </x:c>
      <x:c r="R4" s="11" t="n">
        <x:v>180</x:v>
      </x:c>
      <x:c r="S4" s="14" t="n">
        <x:v>46352</x:v>
      </x:c>
      <x:c r="T4" s="11" t="str">
        <x:v>Aplicación de corona</x:v>
      </x:c>
    </x:row>
    <x:row r="5">
      <x:c r="A5" s="11" t="str">
        <x:v>EVT_004</x:v>
      </x:c>
      <x:c r="B5" s="11" t="str">
        <x:v>Abono tierra</x:v>
      </x:c>
      <x:c r="C5" s="11" t="str">
        <x:v>Árbol</x:v>
      </x:c>
      <x:c r="D5" s="11" t="str">
        <x:v>FIN_FRAILES</x:v>
      </x:c>
      <x:c r="E5" s="11" t="str"/>
      <x:c r="F5" s="11" t="str"/>
      <x:c r="G5" s="11" t="str">
        <x:v>ARB_GUAYABA_FRAILES</x:v>
      </x:c>
      <x:c r="H5" s="11" t="str"/>
      <x:c r="I5" s="11" t="str">
        <x:v>Guayaba</x:v>
      </x:c>
      <x:c r="J5" s="11" t="str">
        <x:v>INS_YARAMILA</x:v>
      </x:c>
      <x:c r="K5" s="11" t="str">
        <x:v>YaraMila</x:v>
      </x:c>
      <x:c r="L5" s="14"/>
      <x:c r="M5" s="14" t="n">
        <x:v>46179</x:v>
      </x:c>
      <x:c r="N5" s="11" t="str">
        <x:v>Completado</x:v>
      </x:c>
      <x:c r="O5" s="11" t="str">
        <x:v>Bajo según tamaño</x:v>
      </x:c>
      <x:c r="P5" s="11" t="str">
        <x:v>g/árbol</x:v>
      </x:c>
      <x:c r="Q5" s="11" t="str">
        <x:v>Vegetativo</x:v>
      </x:c>
      <x:c r="R5" s="11" t="n">
        <x:v>60</x:v>
      </x:c>
      <x:c r="S5" s="14" t="n">
        <x:v>46239</x:v>
      </x:c>
      <x:c r="T5" s="11" t="str">
        <x:v>Fertilización de tierra</x:v>
      </x:c>
    </x:row>
    <x:row r="6">
      <x:c r="A6" s="11" t="str">
        <x:v>EVT_005</x:v>
      </x:c>
      <x:c r="B6" s="11" t="str">
        <x:v>Control fitosanitario</x:v>
      </x:c>
      <x:c r="C6" s="11" t="str">
        <x:v>Árbol</x:v>
      </x:c>
      <x:c r="D6" s="11" t="str">
        <x:v>FIN_FRAILES</x:v>
      </x:c>
      <x:c r="E6" s="11" t="str"/>
      <x:c r="F6" s="11" t="str"/>
      <x:c r="G6" s="11" t="str">
        <x:v>ARB_MANGO_FRAILES</x:v>
      </x:c>
      <x:c r="H6" s="11" t="str"/>
      <x:c r="I6" s="11" t="str">
        <x:v>Mango</x:v>
      </x:c>
      <x:c r="J6" s="11" t="str">
        <x:v>INS_MISTRAL</x:v>
      </x:c>
      <x:c r="K6" s="11" t="str">
        <x:v>Mistral</x:v>
      </x:c>
      <x:c r="L6" s="14" t="n">
        <x:v>46264</x:v>
      </x:c>
      <x:c r="M6" s="14"/>
      <x:c r="N6" s="11" t="str">
        <x:v>No empezado</x:v>
      </x:c>
      <x:c r="O6" s="11" t="str">
        <x:v>Según etiqueta</x:v>
      </x:c>
      <x:c r="P6" s="11" t="str">
        <x:v>ml/L</x:v>
      </x:c>
      <x:c r="Q6" s="11" t="str">
        <x:v>Preventivo</x:v>
      </x:c>
      <x:c r="R6" s="11" t="n">
        <x:v>15</x:v>
      </x:c>
      <x:c r="S6" s="14"/>
      <x:c r="T6" s="11" t="str">
        <x:v>Control programado</x:v>
      </x:c>
    </x:row>
    <x:row r="7">
      <x:c r="A7" s="11" t="str">
        <x:v>EVT_006</x:v>
      </x:c>
      <x:c r="B7" s="11" t="str">
        <x:v>Poda</x:v>
      </x:c>
      <x:c r="C7" s="11" t="str">
        <x:v>Árbol</x:v>
      </x:c>
      <x:c r="D7" s="11" t="str">
        <x:v>FIN_FRAILES</x:v>
      </x:c>
      <x:c r="E7" s="11" t="str"/>
      <x:c r="F7" s="11" t="str"/>
      <x:c r="G7" s="11" t="str">
        <x:v>ARB_MANGO_FRAILES</x:v>
      </x:c>
      <x:c r="H7" s="11" t="str"/>
      <x:c r="I7" s="11" t="str">
        <x:v>Mango</x:v>
      </x:c>
      <x:c r="J7" s="11" t="str"/>
      <x:c r="K7" s="11" t="str"/>
      <x:c r="L7" s="14" t="n">
        <x:v>46295</x:v>
      </x:c>
      <x:c r="M7" s="14"/>
      <x:c r="N7" s="11" t="str">
        <x:v>No empezado</x:v>
      </x:c>
      <x:c r="O7" s="11" t="str"/>
      <x:c r="P7" s="11" t="str"/>
      <x:c r="Q7" s="11" t="str">
        <x:v>Postcosecha / formación</x:v>
      </x:c>
      <x:c r="R7" s="11" t="n">
        <x:v>0</x:v>
      </x:c>
      <x:c r="S7" s="14"/>
      <x:c r="T7" s="11" t="str">
        <x:v>Poda programada</x:v>
      </x:c>
    </x:row>
    <x:row r="8">
      <x:c r="A8" s="11" t="str">
        <x:v>EVT_007</x:v>
      </x:c>
      <x:c r="B8" s="11" t="str">
        <x:v>Control fitosanitario</x:v>
      </x:c>
      <x:c r="C8" s="11" t="str">
        <x:v>Árbol</x:v>
      </x:c>
      <x:c r="D8" s="11" t="str">
        <x:v>FIN_MORAVIA</x:v>
      </x:c>
      <x:c r="E8" s="11" t="str"/>
      <x:c r="F8" s="11" t="str"/>
      <x:c r="G8" s="11" t="str">
        <x:v>ARB_MANZANO_MORAVIA</x:v>
      </x:c>
      <x:c r="H8" s="11" t="str"/>
      <x:c r="I8" s="11" t="str">
        <x:v>Manzano tico</x:v>
      </x:c>
      <x:c r="J8" s="11" t="str">
        <x:v>INS_MISTRAL</x:v>
      </x:c>
      <x:c r="K8" s="11" t="str">
        <x:v>Mistral</x:v>
      </x:c>
      <x:c r="L8" s="14"/>
      <x:c r="M8" s="14" t="n">
        <x:v>46181</x:v>
      </x:c>
      <x:c r="N8" s="11" t="str">
        <x:v>Completado</x:v>
      </x:c>
      <x:c r="O8" s="11" t="str">
        <x:v>Según etiqueta</x:v>
      </x:c>
      <x:c r="P8" s="11" t="str">
        <x:v>ml/L</x:v>
      </x:c>
      <x:c r="Q8" s="11" t="str">
        <x:v>Llenado / prevención</x:v>
      </x:c>
      <x:c r="R8" s="11" t="n">
        <x:v>15</x:v>
      </x:c>
      <x:c r="S8" s="14" t="n">
        <x:v>46196</x:v>
      </x:c>
      <x:c r="T8" s="11" t="str">
        <x:v>Control aplicado hoy</x:v>
      </x:c>
    </x:row>
    <x:row r="9">
      <x:c r="A9" s="11" t="str">
        <x:v>EVT_008</x:v>
      </x:c>
      <x:c r="B9" s="11" t="str">
        <x:v>Abono tierra</x:v>
      </x:c>
      <x:c r="C9" s="11" t="str">
        <x:v>Árbol</x:v>
      </x:c>
      <x:c r="D9" s="11" t="str">
        <x:v>FIN_MORAVIA</x:v>
      </x:c>
      <x:c r="E9" s="11" t="str"/>
      <x:c r="F9" s="11" t="str"/>
      <x:c r="G9" s="11" t="str">
        <x:v>ARB_MANZANO_MORAVIA</x:v>
      </x:c>
      <x:c r="H9" s="11" t="str"/>
      <x:c r="I9" s="11" t="str">
        <x:v>Manzano tico</x:v>
      </x:c>
      <x:c r="J9" s="11" t="str">
        <x:v>INS_YARAMILA</x:v>
      </x:c>
      <x:c r="K9" s="11" t="str">
        <x:v>YaraMila</x:v>
      </x:c>
      <x:c r="L9" s="14"/>
      <x:c r="M9" s="14" t="n">
        <x:v>46127</x:v>
      </x:c>
      <x:c r="N9" s="11" t="str">
        <x:v>Completado</x:v>
      </x:c>
      <x:c r="O9" s="11" t="str">
        <x:v>Bajo según tamaño</x:v>
      </x:c>
      <x:c r="P9" s="11" t="str">
        <x:v>g/árbol</x:v>
      </x:c>
      <x:c r="Q9" s="11" t="str">
        <x:v>Vegetativo</x:v>
      </x:c>
      <x:c r="R9" s="11" t="n">
        <x:v>60</x:v>
      </x:c>
      <x:c r="S9" s="14" t="n">
        <x:v>46187</x:v>
      </x:c>
      <x:c r="T9" s="11" t="str">
        <x:v>Fertilización previa</x:v>
      </x:c>
    </x:row>
    <x:row r="10">
      <x:c r="A10" s="11" t="str">
        <x:v>EVT_009</x:v>
      </x:c>
      <x:c r="B10" s="11" t="str">
        <x:v>Abono tierra</x:v>
      </x:c>
      <x:c r="C10" s="11" t="str">
        <x:v>Árbol</x:v>
      </x:c>
      <x:c r="D10" s="11" t="str">
        <x:v>FIN_MORAVIA</x:v>
      </x:c>
      <x:c r="E10" s="11" t="str"/>
      <x:c r="F10" s="11" t="str"/>
      <x:c r="G10" s="11" t="str">
        <x:v>ARB_MANZANO_MORAVIA</x:v>
      </x:c>
      <x:c r="H10" s="11" t="str"/>
      <x:c r="I10" s="11" t="str">
        <x:v>Manzano tico</x:v>
      </x:c>
      <x:c r="J10" s="11" t="str">
        <x:v>INS_YARAMILA</x:v>
      </x:c>
      <x:c r="K10" s="11" t="str">
        <x:v>YaraMila</x:v>
      </x:c>
      <x:c r="L10" s="14"/>
      <x:c r="M10" s="14" t="n">
        <x:v>46174</x:v>
      </x:c>
      <x:c r="N10" s="11" t="str">
        <x:v>Completado</x:v>
      </x:c>
      <x:c r="O10" s="11" t="str">
        <x:v>Bajo según tamaño</x:v>
      </x:c>
      <x:c r="P10" s="11" t="str">
        <x:v>g/árbol</x:v>
      </x:c>
      <x:c r="Q10" s="11" t="str">
        <x:v>Llenado</x:v>
      </x:c>
      <x:c r="R10" s="11" t="n">
        <x:v>60</x:v>
      </x:c>
      <x:c r="S10" s="14" t="n">
        <x:v>46234</x:v>
      </x:c>
      <x:c r="T10" s="11" t="str">
        <x:v>Refuerzo de tierra</x:v>
      </x:c>
    </x:row>
    <x:row r="11">
      <x:c r="A11" s="11" t="str">
        <x:v>EVT_010</x:v>
      </x:c>
      <x:c r="B11" s="11" t="str">
        <x:v>Control fitosanitario</x:v>
      </x:c>
      <x:c r="C11" s="11" t="str">
        <x:v>Árbol</x:v>
      </x:c>
      <x:c r="D11" s="11" t="str">
        <x:v>FIN_FRAILES</x:v>
      </x:c>
      <x:c r="E11" s="11" t="str"/>
      <x:c r="F11" s="11" t="str"/>
      <x:c r="G11" s="11" t="str">
        <x:v>ARB_GUAYABA_FRAILES</x:v>
      </x:c>
      <x:c r="H11" s="11" t="str"/>
      <x:c r="I11" s="11" t="str">
        <x:v>Guayaba</x:v>
      </x:c>
      <x:c r="J11" s="11" t="str">
        <x:v>INS_NEEM</x:v>
      </x:c>
      <x:c r="K11" s="11" t="str">
        <x:v>Neem</x:v>
      </x:c>
      <x:c r="L11" s="14" t="n">
        <x:v>46193</x:v>
      </x:c>
      <x:c r="M11" s="14"/>
      <x:c r="N11" s="11" t="str">
        <x:v>Pendiente</x:v>
      </x:c>
      <x:c r="O11" s="11" t="str">
        <x:v>Según etiqueta</x:v>
      </x:c>
      <x:c r="P11" s="11" t="str">
        <x:v>ml/L</x:v>
      </x:c>
      <x:c r="Q11" s="11" t="str">
        <x:v>Preventivo</x:v>
      </x:c>
      <x:c r="R11" s="11" t="n">
        <x:v>10</x:v>
      </x:c>
      <x:c r="S11" s="14"/>
      <x:c r="T11" s="11" t="str">
        <x:v>Pendiente en guayaba</x:v>
      </x:c>
    </x:row>
    <x:row r="12">
      <x:c r="A12" s="11" t="str">
        <x:v>EVT_011</x:v>
      </x:c>
      <x:c r="B12" s="11" t="str">
        <x:v>Control fitosanitario</x:v>
      </x:c>
      <x:c r="C12" s="11" t="str">
        <x:v>Cultivo</x:v>
      </x:c>
      <x:c r="D12" s="11" t="str">
        <x:v>FIN_FRAILES</x:v>
      </x:c>
      <x:c r="E12" s="11" t="str">
        <x:v>UNI_FRA_CAMA_05</x:v>
      </x:c>
      <x:c r="F12" s="11" t="str">
        <x:v>SIE_FRA_014</x:v>
      </x:c>
      <x:c r="G12" s="11" t="str"/>
      <x:c r="H12" s="11" t="str">
        <x:v>Arúgula</x:v>
      </x:c>
      <x:c r="I12" s="11" t="str"/>
      <x:c r="J12" s="11" t="str">
        <x:v>INS_JABON_POTASICO</x:v>
      </x:c>
      <x:c r="K12" s="11" t="str">
        <x:v>Jabón potásico</x:v>
      </x:c>
      <x:c r="L12" s="14" t="n">
        <x:v>46185</x:v>
      </x:c>
      <x:c r="M12" s="14"/>
      <x:c r="N12" s="11" t="str">
        <x:v>Pendiente</x:v>
      </x:c>
      <x:c r="O12" s="11" t="str">
        <x:v>Según etiqueta</x:v>
      </x:c>
      <x:c r="P12" s="11" t="str">
        <x:v>ml/L</x:v>
      </x:c>
      <x:c r="Q12" s="11" t="str">
        <x:v>Presencia plaga blanda</x:v>
      </x:c>
      <x:c r="R12" s="11" t="n">
        <x:v>7</x:v>
      </x:c>
      <x:c r="S12" s="14"/>
      <x:c r="T12" s="11" t="str">
        <x:v>Control pendiente en arúgula</x:v>
      </x:c>
    </x:row>
    <x:row r="13">
      <x:c r="A13" s="11" t="str">
        <x:v>EVT_012</x:v>
      </x:c>
      <x:c r="B13" s="11" t="str">
        <x:v>Abono foliar</x:v>
      </x:c>
      <x:c r="C13" s="11" t="str">
        <x:v>Cultivo</x:v>
      </x:c>
      <x:c r="D13" s="11" t="str">
        <x:v>FIN_FRAILES</x:v>
      </x:c>
      <x:c r="E13" s="11" t="str">
        <x:v>UNI_FRA_CAMA_02</x:v>
      </x:c>
      <x:c r="F13" s="11" t="str">
        <x:v>SIE_FRA_007</x:v>
      </x:c>
      <x:c r="G13" s="11" t="str"/>
      <x:c r="H13" s="11" t="str">
        <x:v>Tomate cherry</x:v>
      </x:c>
      <x:c r="I13" s="11" t="str"/>
      <x:c r="J13" s="11" t="str">
        <x:v>INS_CALCIO_BORO</x:v>
      </x:c>
      <x:c r="K13" s="11" t="str">
        <x:v>Calcio Boro</x:v>
      </x:c>
      <x:c r="L13" s="14" t="n">
        <x:v>46191</x:v>
      </x:c>
      <x:c r="M13" s="14"/>
      <x:c r="N13" s="11" t="str">
        <x:v>No empezado</x:v>
      </x:c>
      <x:c r="O13" s="11" t="str">
        <x:v>Según etiqueta</x:v>
      </x:c>
      <x:c r="P13" s="11" t="str">
        <x:v>ml/L</x:v>
      </x:c>
      <x:c r="Q13" s="11" t="str">
        <x:v>Floración</x:v>
      </x:c>
      <x:c r="R13" s="11" t="n">
        <x:v>10</x:v>
      </x:c>
      <x:c r="S13" s="14"/>
      <x:c r="T13" s="11" t="str">
        <x:v>Apoyo floración/cuaje</x:v>
      </x:c>
    </x:row>
    <x:row r="14">
      <x:c r="L14" s="18"/>
      <x:c r="M14" s="18"/>
      <x:c r="S14" s="18"/>
    </x:row>
    <x:row r="15">
      <x:c r="L15" s="18"/>
      <x:c r="M15" s="18"/>
      <x:c r="S15" s="18"/>
    </x:row>
    <x:row r="16">
      <x:c r="L16" s="18"/>
      <x:c r="M16" s="18"/>
      <x:c r="S16" s="18"/>
    </x:row>
    <x:row r="17">
      <x:c r="L17" s="18"/>
      <x:c r="M17" s="18"/>
      <x:c r="S17" s="18"/>
    </x:row>
    <x:row r="18">
      <x:c r="L18" s="18"/>
      <x:c r="M18" s="18"/>
      <x:c r="S18" s="18"/>
    </x:row>
    <x:row r="19">
      <x:c r="L19" s="18"/>
      <x:c r="M19" s="18"/>
      <x:c r="S19" s="18"/>
    </x:row>
    <x:row r="20">
      <x:c r="L20" s="18"/>
      <x:c r="M20" s="18"/>
      <x:c r="S20" s="18"/>
    </x:row>
    <x:row r="21">
      <x:c r="L21" s="18"/>
      <x:c r="M21" s="18"/>
      <x:c r="S21" s="18"/>
    </x:row>
    <x:row r="22">
      <x:c r="L22" s="18"/>
      <x:c r="M22" s="18"/>
      <x:c r="S22" s="18"/>
    </x:row>
    <x:row r="23">
      <x:c r="L23" s="18"/>
      <x:c r="M23" s="18"/>
      <x:c r="S23" s="18"/>
    </x:row>
    <x:row r="24">
      <x:c r="L24" s="18"/>
      <x:c r="M24" s="18"/>
      <x:c r="S24" s="18"/>
    </x:row>
    <x:row r="25">
      <x:c r="L25" s="18"/>
      <x:c r="M25" s="18"/>
      <x:c r="S25" s="18"/>
    </x:row>
    <x:row r="26">
      <x:c r="L26" s="18"/>
      <x:c r="M26" s="18"/>
      <x:c r="S26" s="18"/>
    </x:row>
    <x:row r="27">
      <x:c r="L27" s="18"/>
      <x:c r="M27" s="18"/>
      <x:c r="S27" s="18"/>
    </x:row>
    <x:row r="28">
      <x:c r="L28" s="18"/>
      <x:c r="M28" s="18"/>
      <x:c r="S28" s="18"/>
    </x:row>
    <x:row r="29">
      <x:c r="L29" s="18"/>
      <x:c r="M29" s="18"/>
      <x:c r="S29" s="18"/>
    </x:row>
    <x:row r="30">
      <x:c r="L30" s="18"/>
      <x:c r="M30" s="18"/>
      <x:c r="S30" s="18"/>
    </x:row>
    <x:row r="31">
      <x:c r="L31" s="18"/>
      <x:c r="M31" s="18"/>
      <x:c r="S31" s="18"/>
    </x:row>
    <x:row r="32">
      <x:c r="L32" s="18"/>
      <x:c r="M32" s="18"/>
      <x:c r="S32" s="18"/>
    </x:row>
    <x:row r="33">
      <x:c r="L33" s="18"/>
      <x:c r="M33" s="18"/>
      <x:c r="S33" s="18"/>
    </x:row>
    <x:row r="34">
      <x:c r="L34" s="18"/>
      <x:c r="M34" s="18"/>
      <x:c r="S34" s="18"/>
    </x:row>
    <x:row r="35">
      <x:c r="L35" s="18"/>
      <x:c r="M35" s="18"/>
      <x:c r="S35" s="18"/>
    </x:row>
    <x:row r="36">
      <x:c r="L36" s="18"/>
      <x:c r="M36" s="18"/>
      <x:c r="S36" s="18"/>
    </x:row>
    <x:row r="37">
      <x:c r="L37" s="18"/>
      <x:c r="M37" s="18"/>
      <x:c r="S37" s="18"/>
    </x:row>
    <x:row r="38">
      <x:c r="L38" s="18"/>
      <x:c r="M38" s="18"/>
      <x:c r="S38" s="18"/>
    </x:row>
    <x:row r="39">
      <x:c r="L39" s="18"/>
      <x:c r="M39" s="18"/>
      <x:c r="S39" s="18"/>
    </x:row>
    <x:row r="40">
      <x:c r="L40" s="18"/>
      <x:c r="M40" s="18"/>
      <x:c r="S40" s="18"/>
    </x:row>
    <x:row r="41">
      <x:c r="L41" s="18"/>
      <x:c r="M41" s="18"/>
      <x:c r="S41" s="18"/>
    </x:row>
    <x:row r="42">
      <x:c r="L42" s="18"/>
      <x:c r="M42" s="18"/>
      <x:c r="S42" s="18"/>
    </x:row>
    <x:row r="43">
      <x:c r="L43" s="18"/>
      <x:c r="M43" s="18"/>
      <x:c r="S43" s="18"/>
    </x:row>
    <x:row r="44">
      <x:c r="L44" s="18"/>
      <x:c r="M44" s="18"/>
      <x:c r="S44" s="18"/>
    </x:row>
    <x:row r="45">
      <x:c r="L45" s="18"/>
      <x:c r="M45" s="18"/>
      <x:c r="S45" s="18"/>
    </x:row>
    <x:row r="46">
      <x:c r="L46" s="18"/>
      <x:c r="M46" s="18"/>
      <x:c r="S46" s="18"/>
    </x:row>
    <x:row r="47">
      <x:c r="L47" s="18"/>
      <x:c r="M47" s="18"/>
      <x:c r="S47" s="18"/>
    </x:row>
    <x:row r="48">
      <x:c r="L48" s="18"/>
      <x:c r="M48" s="18"/>
      <x:c r="S48" s="18"/>
    </x:row>
    <x:row r="49">
      <x:c r="L49" s="18"/>
      <x:c r="M49" s="18"/>
      <x:c r="S49" s="18"/>
    </x:row>
    <x:row r="50">
      <x:c r="L50" s="18"/>
      <x:c r="M50" s="18"/>
      <x:c r="S50" s="18"/>
    </x:row>
    <x:row r="51">
      <x:c r="L51" s="18"/>
      <x:c r="M51" s="18"/>
      <x:c r="S51" s="18"/>
    </x:row>
    <x:row r="52">
      <x:c r="L52" s="18"/>
      <x:c r="M52" s="18"/>
      <x:c r="S52" s="18"/>
    </x:row>
    <x:row r="53">
      <x:c r="L53" s="18"/>
      <x:c r="M53" s="18"/>
      <x:c r="S53" s="18"/>
    </x:row>
    <x:row r="54">
      <x:c r="L54" s="18"/>
      <x:c r="M54" s="18"/>
      <x:c r="S54" s="18"/>
    </x:row>
    <x:row r="55">
      <x:c r="L55" s="18"/>
      <x:c r="M55" s="18"/>
      <x:c r="S55" s="18"/>
    </x:row>
    <x:row r="56">
      <x:c r="L56" s="18"/>
      <x:c r="M56" s="18"/>
      <x:c r="S56" s="18"/>
    </x:row>
    <x:row r="57">
      <x:c r="L57" s="18"/>
      <x:c r="M57" s="18"/>
      <x:c r="S57" s="18"/>
    </x:row>
    <x:row r="58">
      <x:c r="L58" s="18"/>
      <x:c r="M58" s="18"/>
      <x:c r="S58" s="18"/>
    </x:row>
    <x:row r="59">
      <x:c r="L59" s="18"/>
      <x:c r="M59" s="18"/>
      <x:c r="S59" s="18"/>
    </x:row>
    <x:row r="60">
      <x:c r="L60" s="18"/>
      <x:c r="M60" s="18"/>
      <x:c r="S60" s="18"/>
    </x:row>
    <x:row r="61">
      <x:c r="L61" s="18"/>
      <x:c r="M61" s="18"/>
      <x:c r="S61" s="18"/>
    </x:row>
    <x:row r="62">
      <x:c r="L62" s="18"/>
      <x:c r="M62" s="18"/>
      <x:c r="S62" s="18"/>
    </x:row>
    <x:row r="63">
      <x:c r="L63" s="18"/>
      <x:c r="M63" s="18"/>
      <x:c r="S63" s="18"/>
    </x:row>
    <x:row r="64">
      <x:c r="L64" s="18"/>
      <x:c r="M64" s="18"/>
      <x:c r="S64" s="18"/>
    </x:row>
    <x:row r="65">
      <x:c r="L65" s="18"/>
      <x:c r="M65" s="18"/>
      <x:c r="S65" s="18"/>
    </x:row>
    <x:row r="66">
      <x:c r="L66" s="18"/>
      <x:c r="M66" s="18"/>
      <x:c r="S66" s="18"/>
    </x:row>
    <x:row r="67">
      <x:c r="L67" s="18"/>
      <x:c r="M67" s="18"/>
      <x:c r="S67" s="18"/>
    </x:row>
    <x:row r="68">
      <x:c r="L68" s="18"/>
      <x:c r="M68" s="18"/>
      <x:c r="S68" s="18"/>
    </x:row>
    <x:row r="69">
      <x:c r="L69" s="18"/>
      <x:c r="M69" s="18"/>
      <x:c r="S69" s="18"/>
    </x:row>
    <x:row r="70">
      <x:c r="L70" s="18"/>
      <x:c r="M70" s="18"/>
      <x:c r="S70" s="18"/>
    </x:row>
    <x:row r="71">
      <x:c r="L71" s="18"/>
      <x:c r="M71" s="18"/>
      <x:c r="S71" s="18"/>
    </x:row>
    <x:row r="72">
      <x:c r="L72" s="18"/>
      <x:c r="M72" s="18"/>
      <x:c r="S72" s="18"/>
    </x:row>
    <x:row r="73">
      <x:c r="L73" s="18"/>
      <x:c r="M73" s="18"/>
      <x:c r="S73" s="18"/>
    </x:row>
    <x:row r="74">
      <x:c r="L74" s="18"/>
      <x:c r="M74" s="18"/>
      <x:c r="S74" s="18"/>
    </x:row>
    <x:row r="75">
      <x:c r="L75" s="18"/>
      <x:c r="M75" s="18"/>
      <x:c r="S75" s="18"/>
    </x:row>
    <x:row r="76">
      <x:c r="L76" s="18"/>
      <x:c r="M76" s="18"/>
      <x:c r="S76" s="18"/>
    </x:row>
    <x:row r="77">
      <x:c r="L77" s="18"/>
      <x:c r="M77" s="18"/>
      <x:c r="S77" s="18"/>
    </x:row>
    <x:row r="78">
      <x:c r="L78" s="18"/>
      <x:c r="M78" s="18"/>
      <x:c r="S78" s="18"/>
    </x:row>
    <x:row r="79">
      <x:c r="L79" s="18"/>
      <x:c r="M79" s="18"/>
      <x:c r="S79" s="18"/>
    </x:row>
    <x:row r="80">
      <x:c r="L80" s="18"/>
      <x:c r="M80" s="18"/>
      <x:c r="S80" s="18"/>
    </x:row>
    <x:row r="81">
      <x:c r="L81" s="18"/>
      <x:c r="M81" s="18"/>
      <x:c r="S81" s="18"/>
    </x:row>
    <x:row r="82">
      <x:c r="L82" s="18"/>
      <x:c r="M82" s="18"/>
      <x:c r="S82" s="18"/>
    </x:row>
    <x:row r="83">
      <x:c r="L83" s="18"/>
      <x:c r="M83" s="18"/>
      <x:c r="S83" s="18"/>
    </x:row>
    <x:row r="84">
      <x:c r="L84" s="18"/>
      <x:c r="M84" s="18"/>
      <x:c r="S84" s="18"/>
    </x:row>
    <x:row r="85">
      <x:c r="L85" s="18"/>
      <x:c r="M85" s="18"/>
      <x:c r="S85" s="18"/>
    </x:row>
    <x:row r="86">
      <x:c r="L86" s="18"/>
      <x:c r="M86" s="18"/>
      <x:c r="S86" s="18"/>
    </x:row>
    <x:row r="87">
      <x:c r="L87" s="18"/>
      <x:c r="M87" s="18"/>
      <x:c r="S87" s="18"/>
    </x:row>
    <x:row r="88">
      <x:c r="L88" s="18"/>
      <x:c r="M88" s="18"/>
      <x:c r="S88" s="18"/>
    </x:row>
    <x:row r="89">
      <x:c r="L89" s="18"/>
      <x:c r="M89" s="18"/>
      <x:c r="S89" s="18"/>
    </x:row>
    <x:row r="90">
      <x:c r="L90" s="18"/>
      <x:c r="M90" s="18"/>
      <x:c r="S90" s="18"/>
    </x:row>
    <x:row r="91">
      <x:c r="L91" s="18"/>
      <x:c r="M91" s="18"/>
      <x:c r="S91" s="18"/>
    </x:row>
    <x:row r="92">
      <x:c r="L92" s="18"/>
      <x:c r="M92" s="18"/>
      <x:c r="S92" s="18"/>
    </x:row>
    <x:row r="93">
      <x:c r="L93" s="18"/>
      <x:c r="M93" s="18"/>
      <x:c r="S93" s="18"/>
    </x:row>
    <x:row r="94">
      <x:c r="L94" s="18"/>
      <x:c r="M94" s="18"/>
      <x:c r="S94" s="18"/>
    </x:row>
    <x:row r="95">
      <x:c r="L95" s="18"/>
      <x:c r="M95" s="18"/>
      <x:c r="S95" s="18"/>
    </x:row>
    <x:row r="96">
      <x:c r="L96" s="18"/>
      <x:c r="M96" s="18"/>
      <x:c r="S96" s="18"/>
    </x:row>
    <x:row r="97">
      <x:c r="L97" s="18"/>
      <x:c r="M97" s="18"/>
      <x:c r="S97" s="18"/>
    </x:row>
    <x:row r="98">
      <x:c r="L98" s="18"/>
      <x:c r="M98" s="18"/>
      <x:c r="S98" s="18"/>
    </x:row>
    <x:row r="99">
      <x:c r="L99" s="18"/>
      <x:c r="M99" s="18"/>
      <x:c r="S99" s="18"/>
    </x:row>
    <x:row r="100">
      <x:c r="L100" s="18"/>
      <x:c r="M100" s="18"/>
      <x:c r="S100" s="18"/>
    </x:row>
  </x:sheetData>
  <x:dataValidations count="1">
    <x:dataValidation type="list" sqref="N2:N100">
      <x:formula1>"No empezado,Pendiente,Completado,Cancelado"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0.770000457763672" hidden="0" customWidth="1"/>
    <x:col min="2" max="2" width="16.020000457763672" hidden="0" customWidth="1"/>
    <x:col min="3" max="3" width="9.960000038146973" hidden="0" customWidth="1"/>
    <x:col min="4" max="4" width="19.520000457763672" hidden="0" customWidth="1"/>
    <x:col min="5" max="5" width="11.170000076293945" hidden="0" customWidth="1"/>
    <x:col min="6" max="6" width="35.66999816894531" hidden="0" customWidth="1"/>
  </x:cols>
  <x:sheetData>
    <x:row r="1">
      <x:c r="A1" s="24" t="str">
        <x:v>Objeto</x:v>
      </x:c>
      <x:c r="B1" s="24" t="str">
        <x:v>Tipo</x:v>
      </x:c>
      <x:c r="C1" s="24" t="str">
        <x:v>Insumo</x:v>
      </x:c>
      <x:c r="D1" s="24" t="str">
        <x:v>Cantidad_Eventos_2026</x:v>
      </x:c>
      <x:c r="E1" s="24" t="str">
        <x:v>Ultima_Fecha</x:v>
      </x:c>
      <x:c r="F1" s="24" t="str">
        <x:v>Notas</x:v>
      </x:c>
    </x:row>
    <x:row r="2">
      <x:c r="A2" s="11" t="str">
        <x:v>Manzano tico</x:v>
      </x:c>
      <x:c r="B2" s="11" t="str">
        <x:v>Control fitosanitario</x:v>
      </x:c>
      <x:c r="C2" s="11" t="str">
        <x:v>Mistral</x:v>
      </x:c>
      <x:c r="D2" s="11" t="n">
        <x:v>1</x:v>
      </x:c>
      <x:c r="E2" s="14" t="n">
        <x:v>46181</x:v>
      </x:c>
      <x:c r="F2" s="11" t="str">
        <x:v>Ejemplo: se acumula desde EventosAgricolas</x:v>
      </x:c>
    </x:row>
    <x:row r="3">
      <x:c r="A3" s="11" t="str">
        <x:v>Manzano tico</x:v>
      </x:c>
      <x:c r="B3" s="11" t="str">
        <x:v>Abono tierra</x:v>
      </x:c>
      <x:c r="C3" s="11" t="str">
        <x:v>YaraMila</x:v>
      </x:c>
      <x:c r="D3" s="11" t="n">
        <x:v>2</x:v>
      </x:c>
      <x:c r="E3" s="14" t="n">
        <x:v>46174</x:v>
      </x:c>
      <x:c r="F3" s="11" t="str">
        <x:v>Permite ver frecuencia anual</x:v>
      </x:c>
    </x:row>
    <x:row r="4">
      <x:c r="A4" s="11" t="str">
        <x:v>Guayaba</x:v>
      </x:c>
      <x:c r="B4" s="11" t="str">
        <x:v>Abono tierra</x:v>
      </x:c>
      <x:c r="C4" s="11" t="str">
        <x:v>Cal dolomita</x:v>
      </x:c>
      <x:c r="D4" s="11" t="n">
        <x:v>1</x:v>
      </x:c>
      <x:c r="E4" s="14" t="n">
        <x:v>46172</x:v>
      </x:c>
      <x:c r="F4" s="11" t="str">
        <x:v>Aplicación de enmienda</x:v>
      </x:c>
    </x:row>
    <x:row r="5">
      <x:c r="A5" s="11" t="str">
        <x:v>Guayaba</x:v>
      </x:c>
      <x:c r="B5" s="11" t="str">
        <x:v>Abono tierra</x:v>
      </x:c>
      <x:c r="C5" s="11" t="str">
        <x:v>YaraMila</x:v>
      </x:c>
      <x:c r="D5" s="11" t="n">
        <x:v>1</x:v>
      </x:c>
      <x:c r="E5" s="14" t="n">
        <x:v>46179</x:v>
      </x:c>
      <x:c r="F5" s="11" t="str">
        <x:v>Fertilización</x:v>
      </x:c>
    </x:row>
    <x:row r="6">
      <x:c r="A6" s="11" t="str">
        <x:v>Pepino</x:v>
      </x:c>
      <x:c r="B6" s="11" t="str">
        <x:v>Control fitosanitario</x:v>
      </x:c>
      <x:c r="C6" s="11" t="str">
        <x:v>Cobre</x:v>
      </x:c>
      <x:c r="D6" s="11" t="n">
        <x:v>1</x:v>
      </x:c>
      <x:c r="E6" s="14" t="n">
        <x:v>46152</x:v>
      </x:c>
      <x:c r="F6" s="11" t="str">
        <x:v>Historial por cultivo</x:v>
      </x:c>
    </x:row>
    <x:row r="7">
      <x:c r="E7" s="18"/>
    </x:row>
    <x:row r="8">
      <x:c r="E8" s="18"/>
    </x:row>
    <x:row r="9">
      <x:c r="E9" s="18"/>
    </x:row>
    <x:row r="10">
      <x:c r="E10" s="18"/>
    </x:row>
    <x:row r="11">
      <x:c r="E11" s="18"/>
    </x:row>
    <x:row r="12">
      <x:c r="E12" s="18"/>
    </x:row>
    <x:row r="13">
      <x:c r="E13" s="18"/>
    </x:row>
    <x:row r="14">
      <x:c r="E14" s="18"/>
    </x:row>
    <x:row r="15">
      <x:c r="E15" s="18"/>
    </x:row>
    <x:row r="16">
      <x:c r="E16" s="18"/>
    </x:row>
    <x:row r="17">
      <x:c r="E17" s="18"/>
    </x:row>
    <x:row r="18">
      <x:c r="E18" s="18"/>
    </x:row>
    <x:row r="19">
      <x:c r="E19" s="18"/>
    </x:row>
    <x:row r="20">
      <x:c r="E20" s="18"/>
    </x:row>
    <x:row r="21">
      <x:c r="E21" s="18"/>
    </x:row>
    <x:row r="22">
      <x:c r="E22" s="18"/>
    </x:row>
    <x:row r="23">
      <x:c r="E23" s="18"/>
    </x:row>
    <x:row r="24">
      <x:c r="E24" s="18"/>
    </x:row>
    <x:row r="25">
      <x:c r="E25" s="18"/>
    </x:row>
    <x:row r="26">
      <x:c r="E26" s="18"/>
    </x:row>
    <x:row r="27">
      <x:c r="E27" s="18"/>
    </x:row>
    <x:row r="28">
      <x:c r="E28" s="18"/>
    </x:row>
    <x:row r="29">
      <x:c r="E29" s="18"/>
    </x:row>
    <x:row r="30">
      <x:c r="E30" s="18"/>
    </x:row>
    <x:row r="31">
      <x:c r="E31" s="18"/>
    </x:row>
    <x:row r="32">
      <x:c r="E32" s="18"/>
    </x:row>
    <x:row r="33">
      <x:c r="E33" s="18"/>
    </x:row>
    <x:row r="34">
      <x:c r="E34" s="18"/>
    </x:row>
    <x:row r="35">
      <x:c r="E35" s="18"/>
    </x:row>
    <x:row r="36">
      <x:c r="E36" s="18"/>
    </x:row>
    <x:row r="37">
      <x:c r="E37" s="18"/>
    </x:row>
    <x:row r="38">
      <x:c r="E38" s="18"/>
    </x:row>
    <x:row r="39">
      <x:c r="E39" s="18"/>
    </x:row>
    <x:row r="40">
      <x:c r="E40" s="18"/>
    </x:row>
    <x:row r="41">
      <x:c r="E41" s="18"/>
    </x:row>
    <x:row r="42">
      <x:c r="E42" s="18"/>
    </x:row>
    <x:row r="43">
      <x:c r="E43" s="18"/>
    </x:row>
    <x:row r="44">
      <x:c r="E44" s="18"/>
    </x:row>
    <x:row r="45">
      <x:c r="E45" s="18"/>
    </x:row>
    <x:row r="46">
      <x:c r="E46" s="18"/>
    </x:row>
    <x:row r="47">
      <x:c r="E47" s="18"/>
    </x:row>
    <x:row r="48">
      <x:c r="E48" s="18"/>
    </x:row>
    <x:row r="49">
      <x:c r="E49" s="18"/>
    </x:row>
    <x:row r="50">
      <x:c r="E50" s="18"/>
    </x:row>
    <x:row r="51">
      <x:c r="E51" s="18"/>
    </x:row>
    <x:row r="52">
      <x:c r="E52" s="18"/>
    </x:row>
    <x:row r="53">
      <x:c r="E53" s="18"/>
    </x:row>
    <x:row r="54">
      <x:c r="E54" s="18"/>
    </x:row>
    <x:row r="55">
      <x:c r="E55" s="18"/>
    </x:row>
    <x:row r="56">
      <x:c r="E56" s="18"/>
    </x:row>
    <x:row r="57">
      <x:c r="E57" s="18"/>
    </x:row>
    <x:row r="58">
      <x:c r="E58" s="18"/>
    </x:row>
    <x:row r="59">
      <x:c r="E59" s="18"/>
    </x:row>
    <x:row r="60">
      <x:c r="E60" s="18"/>
    </x:row>
    <x:row r="61">
      <x:c r="E61" s="18"/>
    </x:row>
    <x:row r="62">
      <x:c r="E62" s="18"/>
    </x:row>
    <x:row r="63">
      <x:c r="E63" s="18"/>
    </x:row>
    <x:row r="64">
      <x:c r="E64" s="18"/>
    </x:row>
    <x:row r="65">
      <x:c r="E65" s="18"/>
    </x:row>
    <x:row r="66">
      <x:c r="E66" s="18"/>
    </x:row>
    <x:row r="67">
      <x:c r="E67" s="18"/>
    </x:row>
    <x:row r="68">
      <x:c r="E68" s="18"/>
    </x:row>
    <x:row r="69">
      <x:c r="E69" s="18"/>
    </x:row>
    <x:row r="70">
      <x:c r="E70" s="18"/>
    </x:row>
    <x:row r="71">
      <x:c r="E71" s="18"/>
    </x:row>
    <x:row r="72">
      <x:c r="E72" s="18"/>
    </x:row>
    <x:row r="73">
      <x:c r="E73" s="18"/>
    </x:row>
    <x:row r="74">
      <x:c r="E74" s="18"/>
    </x:row>
    <x:row r="75">
      <x:c r="E75" s="18"/>
    </x:row>
    <x:row r="76">
      <x:c r="E76" s="18"/>
    </x:row>
    <x:row r="77">
      <x:c r="E77" s="18"/>
    </x:row>
    <x:row r="78">
      <x:c r="E78" s="18"/>
    </x:row>
    <x:row r="79">
      <x:c r="E79" s="18"/>
    </x:row>
    <x:row r="80">
      <x:c r="E80" s="18"/>
    </x:row>
    <x:row r="81">
      <x:c r="E81" s="18"/>
    </x:row>
    <x:row r="82">
      <x:c r="E82" s="18"/>
    </x:row>
    <x:row r="83">
      <x:c r="E83" s="18"/>
    </x:row>
    <x:row r="84">
      <x:c r="E84" s="18"/>
    </x:row>
    <x:row r="85">
      <x:c r="E85" s="18"/>
    </x:row>
    <x:row r="86">
      <x:c r="E86" s="18"/>
    </x:row>
    <x:row r="87">
      <x:c r="E87" s="18"/>
    </x:row>
    <x:row r="88">
      <x:c r="E88" s="18"/>
    </x:row>
    <x:row r="89">
      <x:c r="E89" s="18"/>
    </x:row>
    <x:row r="90">
      <x:c r="E90" s="18"/>
    </x:row>
    <x:row r="91">
      <x:c r="E91" s="18"/>
    </x:row>
    <x:row r="92">
      <x:c r="E92" s="18"/>
    </x:row>
    <x:row r="93">
      <x:c r="E93" s="18"/>
    </x:row>
    <x:row r="94">
      <x:c r="E94" s="18"/>
    </x:row>
    <x:row r="95">
      <x:c r="E95" s="18"/>
    </x:row>
    <x:row r="96">
      <x:c r="E96" s="18"/>
    </x:row>
    <x:row r="97">
      <x:c r="E97" s="18"/>
    </x:row>
    <x:row r="98">
      <x:c r="E98" s="18"/>
    </x:row>
    <x:row r="99">
      <x:c r="E99" s="18"/>
    </x:row>
    <x:row r="100">
      <x:c r="E100" s="18"/>
    </x:row>
  </x:sheetData>
  <x:pageMargins left="0.7" right="0.7" top="0.75" bottom="0.75" header="0.3" footer="0.3"/>
</x:worksheet>
</file>