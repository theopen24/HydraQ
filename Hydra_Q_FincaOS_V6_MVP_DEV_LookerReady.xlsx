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a22e3b92e244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_MVP" sheetId="1" r:id="R187118d838ed49cf"/>
    <x:sheet xmlns:r="http://schemas.openxmlformats.org/officeDocument/2006/relationships" name="Fincas" sheetId="2" r:id="R3580ceb18a8a4813"/>
    <x:sheet xmlns:r="http://schemas.openxmlformats.org/officeDocument/2006/relationships" name="Unidades" sheetId="3" r:id="R62718298d3ae4345"/>
    <x:sheet xmlns:r="http://schemas.openxmlformats.org/officeDocument/2006/relationships" name="CatalogoCultivos" sheetId="4" r:id="R76667a6367b14d8b"/>
    <x:sheet xmlns:r="http://schemas.openxmlformats.org/officeDocument/2006/relationships" name="CultivosSembrados" sheetId="5" r:id="Ra5a464341e9842e8"/>
    <x:sheet xmlns:r="http://schemas.openxmlformats.org/officeDocument/2006/relationships" name="Listas" sheetId="6" r:id="Rbdd83c32c7d84f9b"/>
    <x:sheet xmlns:r="http://schemas.openxmlformats.org/officeDocument/2006/relationships" name="VistaCultivos" sheetId="7" r:id="Rbf73354fd0554ff5"/>
    <x:sheet xmlns:r="http://schemas.openxmlformats.org/officeDocument/2006/relationships" name="Setup_Looker" sheetId="8" r:id="R72059c58cf7446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"/>
      <x:name val="Carlito"/>
    </x:font>
    <x:font>
      <x:i/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14532D"/>
      </x:patternFill>
    </x:fill>
    <x:fill>
      <x:patternFill patternType="solid">
        <x:fgColor rgb="1E3A8A"/>
      </x:patternFill>
    </x:fill>
    <x:fill>
      <x:patternFill patternType="solid">
        <x:fgColor rgb="0F766E"/>
      </x:patternFill>
    </x:fill>
    <x:fill>
      <x:patternFill patternType="solid">
        <x:fgColor rgb="134E4A"/>
      </x:patternFill>
    </x:fill>
    <x:fill>
      <x:patternFill patternType="solid">
        <x:fgColor rgb="CCFBF1"/>
      </x:patternFill>
    </x:fill>
    <x:fill>
      <x:patternFill patternType="solid">
        <x:fgColor rgb="D1FAE5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20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20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ill>
        <x:patternFill>
          <x:bgColor rgb="FECACA"/>
        </x:patternFill>
      </x:fill>
    </x:dxf>
    <x:dxf>
      <x:fill>
        <x:patternFill>
          <x:bgColor rgb="FDE68A"/>
        </x:patternFill>
      </x:fill>
    </x:dxf>
    <x:dxf>
      <x:font>
        <x:b/>
        <x:color rgb="991B1B"/>
      </x:font>
      <x:fill>
        <x:patternFill patternType="solid">
          <x:bgColor rgb="FECACA"/>
        </x:patternFill>
      </x:fill>
    </x:dxf>
    <x:dxf>
      <x:font>
        <x:color rgb="166534"/>
      </x:font>
      <x:fill>
        <x:patternFill patternType="solid">
          <x:bgColor rgb="DCFCE7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fb9e367fe4663" /><Relationship Type="http://schemas.openxmlformats.org/officeDocument/2006/relationships/theme" Target="/xl/theme/theme1.xml" Id="R9302526b2b034570" /><Relationship Type="http://schemas.openxmlformats.org/officeDocument/2006/relationships/sharedStrings" Target="/xl/sharedStrings.xml" Id="R6440f3f4d8a34ac5" /><Relationship Type="http://schemas.openxmlformats.org/officeDocument/2006/relationships/worksheet" Target="/xl/worksheets/sheet1.xml" Id="R187118d838ed49cf" /><Relationship Type="http://schemas.openxmlformats.org/officeDocument/2006/relationships/worksheet" Target="/xl/worksheets/sheet2.xml" Id="R3580ceb18a8a4813" /><Relationship Type="http://schemas.openxmlformats.org/officeDocument/2006/relationships/worksheet" Target="/xl/worksheets/sheet3.xml" Id="R62718298d3ae4345" /><Relationship Type="http://schemas.openxmlformats.org/officeDocument/2006/relationships/worksheet" Target="/xl/worksheets/sheet4.xml" Id="R76667a6367b14d8b" /><Relationship Type="http://schemas.openxmlformats.org/officeDocument/2006/relationships/worksheet" Target="/xl/worksheets/sheet5.xml" Id="Ra5a464341e9842e8" /><Relationship Type="http://schemas.openxmlformats.org/officeDocument/2006/relationships/worksheet" Target="/xl/worksheets/sheet6.xml" Id="Rbdd83c32c7d84f9b" /><Relationship Type="http://schemas.openxmlformats.org/officeDocument/2006/relationships/worksheet" Target="/xl/worksheets/sheet7.xml" Id="Rbf73354fd0554ff5" /><Relationship Type="http://schemas.openxmlformats.org/officeDocument/2006/relationships/worksheet" Target="/xl/worksheets/sheet8.xml" Id="R72059c58cf74460e" /></Relationships>
</file>

<file path=xl/tables/table1.xml><?xml version="1.0" encoding="utf-8"?>
<x:table xmlns:x="http://schemas.openxmlformats.org/spreadsheetml/2006/main" id="1" name="tblFincas" displayName="tblFincas" ref="A1:E3" headerRowCount="1">
  <x:tableColumns count="5">
    <x:tableColumn id="1" name="Finca_ID"/>
    <x:tableColumn id="2" name="Finca_Nombre"/>
    <x:tableColumn id="3" name="Ubicacion"/>
    <x:tableColumn id="4" name="Estado"/>
    <x:tableColumn id="5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tblUnidades" displayName="tblUnidades" ref="A1:F11" headerRowCount="1">
  <x:tableColumns count="6">
    <x:tableColumn id="1" name="Unidad_ID"/>
    <x:tableColumn id="2" name="Unidad_Nombre"/>
    <x:tableColumn id="3" name="Finca_ID"/>
    <x:tableColumn id="4" name="Tipo_Unidad"/>
    <x:tableColumn id="5" name="Estado"/>
    <x:tableColumn id="6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tblCatalogoCultivos" displayName="tblCatalogoCultivos" ref="A1:G13" headerRowCount="1">
  <x:tableColumns count="7">
    <x:tableColumn id="1" name="Cultivo_ID"/>
    <x:tableColumn id="2" name="Cultivo_Nombre"/>
    <x:tableColumn id="3" name="Tipo_Cosecha"/>
    <x:tableColumn id="4" name="Dias_Cosecha_Min"/>
    <x:tableColumn id="5" name="Dias_Cosecha_Max"/>
    <x:tableColumn id="6" name="Activo"/>
    <x:tableColumn id="7" name="Notas"/>
  </x:tableColumns>
  <x:tableStyleInfo name="TableStyleMedium2" showRowStripes="1"/>
</x:table>
</file>

<file path=xl/tables/table4.xml><?xml version="1.0" encoding="utf-8"?>
<x:table xmlns:x="http://schemas.openxmlformats.org/spreadsheetml/2006/main" id="4" name="tblCultivosSembrados" displayName="tblCultivosSembrados" ref="A1:M14" headerRowCount="1">
  <x:tableColumns count="13">
    <x:tableColumn id="1" name="Siembra_ID"/>
    <x:tableColumn id="2" name="Finca_ID"/>
    <x:tableColumn id="3" name="Unidad_ID"/>
    <x:tableColumn id="4" name="Cultivo_ID"/>
    <x:tableColumn id="5" name="Fecha_Siembra"/>
    <x:tableColumn id="6" name="Fecha_Trasplante"/>
    <x:tableColumn id="7" name="Cantidad"/>
    <x:tableColumn id="8" name="Estado_Actual"/>
    <x:tableColumn id="9" name="Fecha_Base"/>
    <x:tableColumn id="10" name="Cosecha_Min"/>
    <x:tableColumn id="11" name="Cosecha_Max"/>
    <x:tableColumn id="12" name="Estado_Ficha"/>
    <x:tableColumn id="13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tblListas" displayName="tblListas" ref="A1:C5" headerRowCount="1">
  <x:tableColumns count="3">
    <x:tableColumn id="1" name="Estados"/>
    <x:tableColumn id="2" name="Tipo_Unidad"/>
    <x:tableColumn id="3" name="Tipo_Cosecha"/>
  </x:tableColumns>
  <x:tableStyleInfo name="TableStyleMedium2" showRowStripes="1"/>
</x:table>
</file>

<file path=xl/tables/table6.xml><?xml version="1.0" encoding="utf-8"?>
<x:table xmlns:x="http://schemas.openxmlformats.org/spreadsheetml/2006/main" id="6" name="VistaCultivosTable" displayName="VistaCultivosTable" ref="A1:V101" headerRowCount="1">
  <x:tableColumns count="22">
    <x:tableColumn id="1" name="Siembra_ID"/>
    <x:tableColumn id="2" name="Finca_ID"/>
    <x:tableColumn id="3" name="Finca"/>
    <x:tableColumn id="4" name="Unidad_ID"/>
    <x:tableColumn id="5" name="Unidad"/>
    <x:tableColumn id="6" name="Tipo_Unidad"/>
    <x:tableColumn id="7" name="Cultivo_ID"/>
    <x:tableColumn id="8" name="Cultivo"/>
    <x:tableColumn id="9" name="Tipo_Cosecha"/>
    <x:tableColumn id="10" name="Cantidad"/>
    <x:tableColumn id="11" name="Estado_Actual"/>
    <x:tableColumn id="12" name="Fecha_Siembra"/>
    <x:tableColumn id="13" name="Fecha_Trasplante"/>
    <x:tableColumn id="14" name="Fecha_Base"/>
    <x:tableColumn id="15" name="Cosecha_Min"/>
    <x:tableColumn id="16" name="Cosecha_Max"/>
    <x:tableColumn id="17" name="Mes_Cosecha_Min"/>
    <x:tableColumn id="18" name="Mes_Cosecha_Max"/>
    <x:tableColumn id="19" name="Dias_Para_Cosecha_Min"/>
    <x:tableColumn id="20" name="Alerta_Datos"/>
    <x:tableColumn id="21" name="Estado_Ficha"/>
    <x:tableColumn id="22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00c1c0f63646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abd8550cd1440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d91af8a7a440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5297e5aeaf4f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dd665d0126426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2707dd2d02400b" /></Relationships>
</file>

<file path=xl/worksheets/sheet1.xml><?xml version="1.0" encoding="utf-8"?>
<x:worksheet xmlns:x="http://schemas.openxmlformats.org/spreadsheetml/2006/main">
  <x:sheetFormatPr defaultRowHeight="15"/>
  <x:cols>
    <x:col min="1" max="1" width="91.38999938964844" hidden="0" customWidth="1"/>
    <x:col min="2" max="2" width="55" hidden="0" customWidth="1"/>
    <x:col min="3" max="3" width="22.34000015258789" hidden="0" customWidth="1"/>
    <x:col min="5" max="5" width="20.459999084472656" hidden="0" customWidth="1"/>
    <x:col min="6" max="6" width="9.5600004196167" hidden="0" customWidth="1"/>
    <x:col min="7" max="7" width="10.899999618530273" hidden="0" customWidth="1"/>
    <x:col min="8" max="8" width="11.3100004196167" hidden="0" customWidth="1"/>
  </x:cols>
  <x:sheetData>
    <x:row r="1">
      <x:c r="A1" s="22" t="str">
        <x:v>Hydra Q FincaOS V6 MVP</x:v>
      </x:c>
      <x:c r="B1" s="22"/>
      <x:c r="C1" s="22"/>
      <x:c r="D1" s="22"/>
      <x:c r="E1" s="22"/>
      <x:c r="F1" s="22"/>
      <x:c r="G1" s="22"/>
      <x:c r="H1" s="22"/>
    </x:row>
    <x:row r="2">
      <x:c r="A2" s="10" t="str">
        <x:v>Alcance MVP: 4 tablas para ver qué hay sembrado, dónde está y cuándo debería cosecharse. Datos DEV de prueba.</x:v>
      </x:c>
      <x:c r="B2" s="10"/>
      <x:c r="C2" s="10"/>
      <x:c r="D2" s="10"/>
      <x:c r="E2" s="10"/>
      <x:c r="F2" s="10"/>
      <x:c r="G2" s="10"/>
      <x:c r="H2" s="10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24" t="str">
        <x:v>Indicador</x:v>
      </x:c>
      <x:c r="B4" s="24" t="str">
        <x:v>Valor</x:v>
      </x:c>
      <x:c r="C4" s="24" t="str">
        <x:v>Uso</x:v>
      </x:c>
      <x:c r="D4" s="23"/>
      <x:c r="E4" s="34" t="str">
        <x:v>Vista DEV: Cama Frailes 6</x:v>
      </x:c>
      <x:c r="F4" s="34" t="str"/>
      <x:c r="G4" s="34" t="str"/>
      <x:c r="H4" s="34" t="str"/>
    </x:row>
    <x:row r="5">
      <x:c r="A5" s="23" t="str">
        <x:v>Fincas activas</x:v>
      </x:c>
      <x:c r="B5" s="23" t="n">
        <x:f>COUNTIF(Fincas!D:D,"Activa")</x:f>
        <x:v>2</x:v>
      </x:c>
      <x:c r="C5" s="23" t="str">
        <x:v>Ubicaciones disponibles</x:v>
      </x:c>
      <x:c r="D5" s="23"/>
      <x:c r="E5" s="47" t="str">
        <x:v>Cultivo</x:v>
      </x:c>
      <x:c r="F5" s="47" t="str">
        <x:v>Estado</x:v>
      </x:c>
      <x:c r="G5" s="47" t="str">
        <x:v>Cosecha_Min</x:v>
      </x:c>
      <x:c r="H5" s="47" t="str">
        <x:v>Cosecha_Max</x:v>
      </x:c>
    </x:row>
    <x:row r="6">
      <x:c r="A6" s="23" t="str">
        <x:v>Unidades activas</x:v>
      </x:c>
      <x:c r="B6" s="23" t="n">
        <x:f>COUNTIF(Unidades!E:E,"Activa")</x:f>
        <x:v>10</x:v>
      </x:c>
      <x:c r="C6" s="23" t="str">
        <x:v>Camas / árboles disponibles</x:v>
      </x:c>
      <x:c r="D6" s="23"/>
      <x:c r="E6" s="23" t="str">
        <x:f>VLOOKUP("CUL_TOMATE_NORMAL",CatalogoCultivos!A:B,2,FALSE)</x:f>
        <x:v>Tomate normal</x:v>
      </x:c>
      <x:c r="F6" s="23" t="str">
        <x:f>VLOOKUP("SIE_DEV_011",CultivosSembrados!A:H,8,FALSE)</x:f>
        <x:v>Trasplante</x:v>
      </x:c>
      <x:c r="G6" s="48" t="n">
        <x:f>VLOOKUP("SIE_DEV_011",CultivosSembrados!A:K,10,FALSE)</x:f>
        <x:v>46273</x:v>
      </x:c>
      <x:c r="H6" s="48" t="n">
        <x:f>VLOOKUP("SIE_DEV_011",CultivosSembrados!A:K,11,FALSE)</x:f>
        <x:v>46303</x:v>
      </x:c>
    </x:row>
    <x:row r="7">
      <x:c r="A7" s="23" t="str">
        <x:v>Cultivos activos</x:v>
      </x:c>
      <x:c r="B7" s="23" t="n">
        <x:f>COUNTIF(CatalogoCultivos!F:F,"Sí")</x:f>
        <x:v>12</x:v>
      </x:c>
      <x:c r="C7" s="23" t="str">
        <x:v>Catálogo base</x:v>
      </x:c>
      <x:c r="D7" s="23"/>
      <x:c r="E7" s="23" t="str">
        <x:f>VLOOKUP("CUL_LECHUGA",CatalogoCultivos!A:B,2,FALSE)</x:f>
        <x:v>Lechuga</x:v>
      </x:c>
      <x:c r="F7" s="23" t="str">
        <x:f>VLOOKUP("SIE_DEV_012",CultivosSembrados!A:H,8,FALSE)</x:f>
        <x:v>Crecimiento</x:v>
      </x:c>
      <x:c r="G7" s="48" t="n">
        <x:f>VLOOKUP("SIE_DEV_012",CultivosSembrados!A:K,10,FALSE)</x:f>
        <x:v>46218</x:v>
      </x:c>
      <x:c r="H7" s="48" t="n">
        <x:f>VLOOKUP("SIE_DEV_012",CultivosSembrados!A:K,11,FALSE)</x:f>
        <x:v>46233</x:v>
      </x:c>
    </x:row>
    <x:row r="8">
      <x:c r="A8" s="23" t="str">
        <x:v>Siembras DEV</x:v>
      </x:c>
      <x:c r="B8" s="23" t="n">
        <x:f>COUNTA(CultivosSembrados!A2:A100)</x:f>
        <x:v>13</x:v>
      </x:c>
      <x:c r="C8" s="23" t="str">
        <x:v>Registros para probar</x:v>
      </x:c>
      <x:c r="D8" s="23"/>
      <x:c r="E8" s="23"/>
      <x:c r="F8" s="23"/>
      <x:c r="G8" s="23"/>
      <x:c r="H8" s="23"/>
    </x:row>
    <x:row r="9">
      <x:c r="A9" s="23" t="str">
        <x:v>Registros sin fecha base</x:v>
      </x:c>
      <x:c r="B9" s="23" t="n">
        <x:f>COUNTIF(CultivosSembrados!I2:I100,"")</x:f>
        <x:v>0</x:v>
      </x:c>
      <x:c r="C9" s="23" t="str">
        <x:v>Alertas de cálculo</x:v>
      </x:c>
      <x:c r="D9" s="23"/>
      <x:c r="E9" s="23"/>
      <x:c r="F9" s="23"/>
      <x:c r="G9" s="23"/>
      <x:c r="H9" s="23"/>
    </x:row>
    <x:row r="10">
      <x:c r="A10" s="23"/>
      <x:c r="B10" s="23"/>
      <x:c r="C10" s="23"/>
      <x:c r="D10" s="23"/>
      <x:c r="E10" s="23"/>
      <x:c r="F10" s="23"/>
      <x:c r="G10" s="23"/>
      <x:c r="H10" s="23"/>
    </x:row>
    <x:row r="11">
      <x:c r="A11" s="23"/>
      <x:c r="B11" s="23"/>
      <x:c r="C11" s="23"/>
      <x:c r="D11" s="23"/>
      <x:c r="E11" s="23"/>
      <x:c r="F11" s="23"/>
      <x:c r="G11" s="23"/>
      <x:c r="H11" s="23"/>
    </x:row>
    <x:row r="12">
      <x:c r="A12" s="24" t="str">
        <x:v>Consulta</x:v>
      </x:c>
      <x:c r="B12" s="24" t="str">
        <x:v>Cómo responder</x:v>
      </x:c>
      <x:c r="C12" s="23"/>
      <x:c r="D12" s="23"/>
      <x:c r="E12" s="23"/>
      <x:c r="F12" s="23"/>
      <x:c r="G12" s="23"/>
      <x:c r="H12" s="23"/>
    </x:row>
    <x:row r="13">
      <x:c r="A13" s="23" t="str">
        <x:v>Qué hay en Moravia</x:v>
      </x:c>
      <x:c r="B13" s="23" t="str">
        <x:v>Filtrar CultivosSembrados por Finca_ID = FIN_MORAVIA</x:v>
      </x:c>
      <x:c r="C13" s="23"/>
      <x:c r="D13" s="23"/>
      <x:c r="E13" s="23"/>
      <x:c r="F13" s="23"/>
      <x:c r="G13" s="23"/>
      <x:c r="H13" s="23"/>
    </x:row>
    <x:row r="14">
      <x:c r="A14" s="23" t="str">
        <x:v>Qué hay en Frailes</x:v>
      </x:c>
      <x:c r="B14" s="23" t="str">
        <x:v>Filtrar CultivosSembrados por Finca_ID = FIN_FRAILES</x:v>
      </x:c>
      <x:c r="C14" s="23"/>
      <x:c r="D14" s="23"/>
      <x:c r="E14" s="23"/>
      <x:c r="F14" s="23"/>
      <x:c r="G14" s="23"/>
      <x:c r="H14" s="23"/>
    </x:row>
    <x:row r="15">
      <x:c r="A15" s="23" t="str">
        <x:v>Qué hay en Cama 6</x:v>
      </x:c>
      <x:c r="B15" s="23" t="str">
        <x:v>Filtrar CultivosSembrados por Unidad_ID = UNI_FRA_CAMA_06</x:v>
      </x:c>
      <x:c r="C15" s="23"/>
      <x:c r="D15" s="23"/>
      <x:c r="E15" s="23"/>
      <x:c r="F15" s="23"/>
      <x:c r="G15" s="23"/>
      <x:c r="H15" s="23"/>
    </x:row>
    <x:row r="16">
      <x:c r="A16" s="23" t="str">
        <x:v>Qué se cosecha pronto</x:v>
      </x:c>
      <x:c r="B16" s="23" t="str">
        <x:v>Ordenar CultivosSembrados por Cosecha_Min</x:v>
      </x:c>
      <x:c r="C16" s="23"/>
      <x:c r="D16" s="23"/>
      <x:c r="E16" s="23"/>
      <x:c r="F16" s="23"/>
      <x:c r="G16" s="23"/>
      <x:c r="H16" s="23"/>
    </x:row>
    <x:row r="17">
      <x:c r="A17" s="23" t="str">
        <x:v>Qué falta para calcular</x:v>
      </x:c>
      <x:c r="B17" s="23" t="str">
        <x:v>Buscar Fecha_Base vacía o Estado_Ficha = Incompleta</x:v>
      </x:c>
      <x:c r="C17" s="23"/>
      <x:c r="D17" s="23"/>
      <x:c r="E17" s="23"/>
      <x:c r="F17" s="23"/>
      <x:c r="G17" s="23"/>
      <x:c r="H17" s="23"/>
    </x:row>
    <x:row r="18">
      <x:c r="A18" s="23"/>
      <x:c r="B18" s="23"/>
      <x:c r="C18" s="23"/>
      <x:c r="D18" s="23"/>
      <x:c r="E18" s="23"/>
      <x:c r="F18" s="23"/>
      <x:c r="G18" s="23"/>
      <x:c r="H18" s="23"/>
    </x:row>
    <x:row r="19">
      <x:c r="A19" s="34" t="str">
        <x:v>Looker Studio</x:v>
      </x:c>
      <x:c r="B19" s="34" t="str"/>
      <x:c r="C19" s="23"/>
      <x:c r="D19" s="23"/>
      <x:c r="E19" s="23"/>
      <x:c r="F19" s="23"/>
      <x:c r="G19" s="23"/>
      <x:c r="H19" s="23"/>
    </x:row>
    <x:row r="20">
      <x:c r="A20" s="45" t="str">
        <x:v>Fuente visual principal</x:v>
      </x:c>
      <x:c r="B20" s="23" t="str">
        <x:v>VistaCultivos</x:v>
      </x:c>
      <x:c r="C20" s="23"/>
      <x:c r="D20" s="23"/>
      <x:c r="E20" s="23"/>
      <x:c r="F20" s="23"/>
      <x:c r="G20" s="23"/>
      <x:c r="H20" s="23"/>
    </x:row>
    <x:row r="21">
      <x:c r="A21" s="46" t="str">
        <x:v>Uso</x:v>
      </x:c>
      <x:c r="B21" s="23" t="str">
        <x:v>Dashboard visual para finca, cama, cultivo y cosecha estimada</x:v>
      </x:c>
    </x:row>
    <x:row r="22">
      <x:c r="A22" s="46" t="str">
        <x:v>No usar para captura</x:v>
      </x:c>
      <x:c r="B22" s="23" t="str">
        <x:v>La captura sigue siendo por GPT / comandos naturales</x:v>
      </x:c>
    </x:row>
    <x:row r="23">
      <x:c r="A23" s="46" t="str">
        <x:v>MVP</x:v>
      </x:c>
      <x:c r="B23" s="23" t="str">
        <x:v>Solo visualización de qué hay sembrado y cuándo se cosecha</x:v>
      </x:c>
    </x:row>
    <x:row r="24">
      <x:c r="A24" s="46" t="str">
        <x:v>Siguiente paso</x:v>
      </x:c>
      <x:c r="B24" s="23" t="str">
        <x:v>Conectar VistaCultivos desde Looker Studio</x:v>
      </x:c>
    </x:row>
  </x:sheetData>
  <x:mergeCells>
    <x:mergeCell ref="A1:H1"/>
    <x:mergeCell ref="A2:H2"/>
    <x:mergeCell ref="E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4399995803833" hidden="0" customWidth="1"/>
    <x:col min="2" max="2" width="11.84000015258789" hidden="0" customWidth="1"/>
    <x:col min="3" max="3" width="16.81999969482422" hidden="0" customWidth="1"/>
    <x:col min="4" max="4" width="5.380000114440918" hidden="0" customWidth="1"/>
    <x:col min="5" max="5" width="24.5" hidden="0" customWidth="1"/>
  </x:cols>
  <x:sheetData>
    <x:row r="1">
      <x:c r="A1" s="24" t="str">
        <x:v>Finca_ID</x:v>
      </x:c>
      <x:c r="B1" s="24" t="str">
        <x:v>Finca_Nombre</x:v>
      </x:c>
      <x:c r="C1" s="24" t="str">
        <x:v>Ubicacion</x:v>
      </x:c>
      <x:c r="D1" s="24" t="str">
        <x:v>Estado</x:v>
      </x:c>
      <x:c r="E1" s="24" t="str">
        <x:v>Notas</x:v>
      </x:c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t="str">
        <x:v>FIN_MORAVIA</x:v>
      </x:c>
      <x:c r="B2" t="str">
        <x:v>Moravia</x:v>
      </x:c>
      <x:c r="C2" t="str">
        <x:v>San Vicente, Moravia</x:v>
      </x:c>
      <x:c r="D2" t="str">
        <x:v>Activa</x:v>
      </x:c>
      <x:c r="E2" t="str">
        <x:v>DEV MVP</x:v>
      </x:c>
    </x:row>
    <x:row r="3">
      <x:c r="A3" t="str">
        <x:v>FIN_FRAILES</x:v>
      </x:c>
      <x:c r="B3" t="str">
        <x:v>Frailes</x:v>
      </x:c>
      <x:c r="C3" t="str">
        <x:v>Los Santos</x:v>
      </x:c>
      <x:c r="D3" t="str">
        <x:v>Activa</x:v>
      </x:c>
      <x:c r="E3" t="str">
        <x:v>DEV MVP; 7 camas de rotación</x:v>
      </x:c>
    </x:row>
  </x:sheetData>
  <x:pageMargins left="0.7" right="0.7" top="0.75" bottom="0.75" header="0.3" footer="0.3"/>
  <x:tableParts count="1">
    <x:tablePart xmlns:r="http://schemas.openxmlformats.org/officeDocument/2006/relationships" r:id="R0a00c1c0f636466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3.280000686645508" hidden="0" customWidth="1"/>
    <x:col min="2" max="2" width="15.069999694824219" hidden="0" customWidth="1"/>
    <x:col min="3" max="3" width="11.4399995803833" hidden="0" customWidth="1"/>
    <x:col min="4" max="4" width="10.359999656677246" hidden="0" customWidth="1"/>
    <x:col min="5" max="5" width="5.380000114440918" hidden="0" customWidth="1"/>
    <x:col min="6" max="6" width="39.029998779296875" hidden="0" customWidth="1"/>
  </x:cols>
  <x:sheetData>
    <x:row r="1">
      <x:c r="A1" s="24" t="str">
        <x:v>Unidad_ID</x:v>
      </x:c>
      <x:c r="B1" s="24" t="str">
        <x:v>Unidad_Nombre</x:v>
      </x:c>
      <x:c r="C1" s="24" t="str">
        <x:v>Finca_ID</x:v>
      </x:c>
      <x:c r="D1" s="24" t="str">
        <x:v>Tipo_Unidad</x:v>
      </x:c>
      <x:c r="E1" s="24" t="str">
        <x:v>Estado</x:v>
      </x:c>
      <x:c r="F1" s="24" t="str">
        <x:v>Notas</x:v>
      </x:c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t="str">
        <x:v>UNI_MOR_CAMA_01</x:v>
      </x:c>
      <x:c r="B2" t="str">
        <x:v>Cama Moravia 1</x:v>
      </x:c>
      <x:c r="C2" t="str">
        <x:v>FIN_MORAVIA</x:v>
      </x:c>
      <x:c r="D2" t="str">
        <x:v>Cama</x:v>
      </x:c>
      <x:c r="E2" t="str">
        <x:v>Activa</x:v>
      </x:c>
      <x:c r="F2" t="str">
        <x:v>Cebollino, tomate cherry, lechuga, apio, espinaca</x:v>
      </x:c>
    </x:row>
    <x:row r="3">
      <x:c r="A3" t="str">
        <x:v>UNI_MOR_GUAYABITA_PERU</x:v>
      </x:c>
      <x:c r="B3" t="str">
        <x:v>Guayabita del Perú</x:v>
      </x:c>
      <x:c r="C3" t="str">
        <x:v>FIN_MORAVIA</x:v>
      </x:c>
      <x:c r="D3" t="str">
        <x:v>Árbol</x:v>
      </x:c>
      <x:c r="E3" t="str">
        <x:v>Activa</x:v>
      </x:c>
      <x:c r="F3" t="str">
        <x:v>Unidad distinta a Guayaba</x:v>
      </x:c>
    </x:row>
    <x:row r="4">
      <x:c r="A4" t="str">
        <x:v>UNI_FRA_CAMA_01</x:v>
      </x:c>
      <x:c r="B4" t="str">
        <x:v>Cama Frailes 1</x:v>
      </x:c>
      <x:c r="C4" t="str">
        <x:v>FIN_FRAILES</x:v>
      </x:c>
      <x:c r="D4" t="str">
        <x:v>Cama</x:v>
      </x:c>
      <x:c r="E4" t="str">
        <x:v>Activa</x:v>
      </x:c>
      <x:c r="F4" t="str">
        <x:v>DEV, rotación</x:v>
      </x:c>
    </x:row>
    <x:row r="5">
      <x:c r="A5" t="str">
        <x:v>UNI_FRA_CAMA_02</x:v>
      </x:c>
      <x:c r="B5" t="str">
        <x:v>Cama Frailes 2</x:v>
      </x:c>
      <x:c r="C5" t="str">
        <x:v>FIN_FRAILES</x:v>
      </x:c>
      <x:c r="D5" t="str">
        <x:v>Cama</x:v>
      </x:c>
      <x:c r="E5" t="str">
        <x:v>Activa</x:v>
      </x:c>
      <x:c r="F5" t="str">
        <x:v>DEV, rotación</x:v>
      </x:c>
    </x:row>
    <x:row r="6">
      <x:c r="A6" t="str">
        <x:v>UNI_FRA_CAMA_03</x:v>
      </x:c>
      <x:c r="B6" t="str">
        <x:v>Cama Frailes 3</x:v>
      </x:c>
      <x:c r="C6" t="str">
        <x:v>FIN_FRAILES</x:v>
      </x:c>
      <x:c r="D6" t="str">
        <x:v>Cama</x:v>
      </x:c>
      <x:c r="E6" t="str">
        <x:v>Activa</x:v>
      </x:c>
      <x:c r="F6" t="str">
        <x:v>DEV, rotación</x:v>
      </x:c>
    </x:row>
    <x:row r="7">
      <x:c r="A7" t="str">
        <x:v>UNI_FRA_CAMA_04</x:v>
      </x:c>
      <x:c r="B7" t="str">
        <x:v>Cama Frailes 4</x:v>
      </x:c>
      <x:c r="C7" t="str">
        <x:v>FIN_FRAILES</x:v>
      </x:c>
      <x:c r="D7" t="str">
        <x:v>Cama</x:v>
      </x:c>
      <x:c r="E7" t="str">
        <x:v>Activa</x:v>
      </x:c>
      <x:c r="F7" t="str">
        <x:v>DEV, rotación</x:v>
      </x:c>
    </x:row>
    <x:row r="8">
      <x:c r="A8" t="str">
        <x:v>UNI_FRA_CAMA_05</x:v>
      </x:c>
      <x:c r="B8" t="str">
        <x:v>Cama Frailes 5</x:v>
      </x:c>
      <x:c r="C8" t="str">
        <x:v>FIN_FRAILES</x:v>
      </x:c>
      <x:c r="D8" t="str">
        <x:v>Cama</x:v>
      </x:c>
      <x:c r="E8" t="str">
        <x:v>Activa</x:v>
      </x:c>
      <x:c r="F8" t="str">
        <x:v>DEV, rotación</x:v>
      </x:c>
    </x:row>
    <x:row r="9">
      <x:c r="A9" t="str">
        <x:v>UNI_FRA_CAMA_06</x:v>
      </x:c>
      <x:c r="B9" t="str">
        <x:v>Cama Frailes 6</x:v>
      </x:c>
      <x:c r="C9" t="str">
        <x:v>FIN_FRAILES</x:v>
      </x:c>
      <x:c r="D9" t="str">
        <x:v>Cama</x:v>
      </x:c>
      <x:c r="E9" t="str">
        <x:v>Activa</x:v>
      </x:c>
      <x:c r="F9" t="str">
        <x:v>DEV, rotación</x:v>
      </x:c>
    </x:row>
    <x:row r="10">
      <x:c r="A10" t="str">
        <x:v>UNI_FRA_CAMA_07</x:v>
      </x:c>
      <x:c r="B10" t="str">
        <x:v>Cama Frailes 7</x:v>
      </x:c>
      <x:c r="C10" t="str">
        <x:v>FIN_FRAILES</x:v>
      </x:c>
      <x:c r="D10" t="str">
        <x:v>Cama</x:v>
      </x:c>
      <x:c r="E10" t="str">
        <x:v>Activa</x:v>
      </x:c>
      <x:c r="F10" t="str">
        <x:v>DEV, rotación</x:v>
      </x:c>
    </x:row>
    <x:row r="11">
      <x:c r="A11" t="str">
        <x:v>UNI_FRA_GUAYABA</x:v>
      </x:c>
      <x:c r="B11" t="str">
        <x:v>Guayaba</x:v>
      </x:c>
      <x:c r="C11" t="str">
        <x:v>FIN_FRAILES</x:v>
      </x:c>
      <x:c r="D11" t="str">
        <x:v>Árbol</x:v>
      </x:c>
      <x:c r="E11" t="str">
        <x:v>Activa</x:v>
      </x:c>
      <x:c r="F11" t="str">
        <x:v>Unidad distinta a Guayabita del Perú</x:v>
      </x:c>
    </x:row>
  </x:sheetData>
  <x:pageMargins left="0.7" right="0.7" top="0.75" bottom="0.75" header="0.3" footer="0.3"/>
  <x:tableParts count="1">
    <x:tablePart xmlns:r="http://schemas.openxmlformats.org/officeDocument/2006/relationships" r:id="Rdabd8550cd1440d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13.319999694824219" hidden="0" customWidth="1"/>
    <x:col min="3" max="3" width="11.4399995803833" hidden="0" customWidth="1"/>
    <x:col min="4" max="4" width="15.34000015258789" hidden="0" customWidth="1"/>
    <x:col min="5" max="5" width="15.75" hidden="0" customWidth="1"/>
    <x:col min="6" max="6" width="5.110000133514404" hidden="0" customWidth="1"/>
    <x:col min="7" max="7" width="26.510000228881836" hidden="0" customWidth="1"/>
  </x:cols>
  <x:sheetData>
    <x:row r="1">
      <x:c r="A1" s="24" t="str">
        <x:v>Cultivo_ID</x:v>
      </x:c>
      <x:c r="B1" s="24" t="str">
        <x:v>Cultivo_Nombre</x:v>
      </x:c>
      <x:c r="C1" s="24" t="str">
        <x:v>Tipo_Cosecha</x:v>
      </x:c>
      <x:c r="D1" s="24" t="str">
        <x:v>Dias_Cosecha_Min</x:v>
      </x:c>
      <x:c r="E1" s="24" t="str">
        <x:v>Dias_Cosecha_Max</x:v>
      </x:c>
      <x:c r="F1" s="24" t="str">
        <x:v>Activo</x:v>
      </x:c>
      <x:c r="G1" s="24" t="str">
        <x:v>Notas</x:v>
      </x:c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t="str">
        <x:v>CUL_TOMATE_NORMAL</x:v>
      </x:c>
      <x:c r="B2" t="str">
        <x:v>Tomate normal</x:v>
      </x:c>
      <x:c r="C2" t="str">
        <x:v>Escalonada</x:v>
      </x:c>
      <x:c r="D2" t="n">
        <x:v>90</x:v>
      </x:c>
      <x:c r="E2" t="n">
        <x:v>120</x:v>
      </x:c>
      <x:c r="F2" t="str">
        <x:v>Sí</x:v>
      </x:c>
      <x:c r="G2" t="str">
        <x:v>Medición futura</x:v>
      </x:c>
    </x:row>
    <x:row r="3">
      <x:c r="A3" t="str">
        <x:v>CUL_TOMATE_CHERRY</x:v>
      </x:c>
      <x:c r="B3" t="str">
        <x:v>Tomate cherry</x:v>
      </x:c>
      <x:c r="C3" t="str">
        <x:v>Escalonada</x:v>
      </x:c>
      <x:c r="D3" t="n">
        <x:v>70</x:v>
      </x:c>
      <x:c r="E3" t="n">
        <x:v>100</x:v>
      </x:c>
      <x:c r="F3" t="str">
        <x:v>Sí</x:v>
      </x:c>
      <x:c r="G3" t="str">
        <x:v>Cama Moravia</x:v>
      </x:c>
    </x:row>
    <x:row r="4">
      <x:c r="A4" t="str">
        <x:v>CUL_LECHUGA</x:v>
      </x:c>
      <x:c r="B4" t="str">
        <x:v>Lechuga</x:v>
      </x:c>
      <x:c r="C4" t="str">
        <x:v>Única</x:v>
      </x:c>
      <x:c r="D4" t="n">
        <x:v>35</x:v>
      </x:c>
      <x:c r="E4" t="n">
        <x:v>50</x:v>
      </x:c>
      <x:c r="F4" t="str">
        <x:v>Sí</x:v>
      </x:c>
      <x:c r="G4" t="str">
        <x:v>Consumo en porciones pequeñas</x:v>
      </x:c>
    </x:row>
    <x:row r="5">
      <x:c r="A5" t="str">
        <x:v>CUL_CEBOLLINO</x:v>
      </x:c>
      <x:c r="B5" t="str">
        <x:v>Cebollino</x:v>
      </x:c>
      <x:c r="C5" t="str">
        <x:v>Corte/Rebrote</x:v>
      </x:c>
      <x:c r="D5" t="n">
        <x:v>60</x:v>
      </x:c>
      <x:c r="E5" t="n">
        <x:v>90</x:v>
      </x:c>
      <x:c r="F5" t="str">
        <x:v>Sí</x:v>
      </x:c>
      <x:c r="G5" t="str">
        <x:v>Aromática de consumo diario</x:v>
      </x:c>
    </x:row>
    <x:row r="6">
      <x:c r="A6" t="str">
        <x:v>CUL_APIO</x:v>
      </x:c>
      <x:c r="B6" t="str">
        <x:v>Apio</x:v>
      </x:c>
      <x:c r="C6" t="str">
        <x:v>Corte/Rebrote</x:v>
      </x:c>
      <x:c r="D6" t="n">
        <x:v>90</x:v>
      </x:c>
      <x:c r="E6" t="n">
        <x:v>120</x:v>
      </x:c>
      <x:c r="F6" t="str">
        <x:v>Sí</x:v>
      </x:c>
      <x:c r="G6" t="str">
        <x:v>Uso por ramas</x:v>
      </x:c>
    </x:row>
    <x:row r="7">
      <x:c r="A7" t="str">
        <x:v>CUL_ESPINACA</x:v>
      </x:c>
      <x:c r="B7" t="str">
        <x:v>Espinaca</x:v>
      </x:c>
      <x:c r="C7" t="str">
        <x:v>Corte/Rebrote</x:v>
      </x:c>
      <x:c r="D7" t="n">
        <x:v>40</x:v>
      </x:c>
      <x:c r="E7" t="n">
        <x:v>60</x:v>
      </x:c>
      <x:c r="F7" t="str">
        <x:v>Sí</x:v>
      </x:c>
      <x:c r="G7" t="str">
        <x:v>Hojas periódicas</x:v>
      </x:c>
    </x:row>
    <x:row r="8">
      <x:c r="A8" t="str">
        <x:v>CUL_ZANAHORIA</x:v>
      </x:c>
      <x:c r="B8" t="str">
        <x:v>Zanahoria</x:v>
      </x:c>
      <x:c r="C8" t="str">
        <x:v>Única</x:v>
      </x:c>
      <x:c r="D8" t="n">
        <x:v>80</x:v>
      </x:c>
      <x:c r="E8" t="n">
        <x:v>110</x:v>
      </x:c>
      <x:c r="F8" t="str">
        <x:v>Sí</x:v>
      </x:c>
      <x:c r="G8" t="str">
        <x:v>Medición futura</x:v>
      </x:c>
    </x:row>
    <x:row r="9">
      <x:c r="A9" t="str">
        <x:v>CUL_PEPINO</x:v>
      </x:c>
      <x:c r="B9" t="str">
        <x:v>Pepino</x:v>
      </x:c>
      <x:c r="C9" t="str">
        <x:v>Escalonada</x:v>
      </x:c>
      <x:c r="D9" t="n">
        <x:v>45</x:v>
      </x:c>
      <x:c r="E9" t="n">
        <x:v>65</x:v>
      </x:c>
      <x:c r="F9" t="str">
        <x:v>Sí</x:v>
      </x:c>
      <x:c r="G9" t="str">
        <x:v>Prueba DEV Frailes</x:v>
      </x:c>
    </x:row>
    <x:row r="10">
      <x:c r="A10" t="str">
        <x:v>CUL_VAINICA</x:v>
      </x:c>
      <x:c r="B10" t="str">
        <x:v>Vainica</x:v>
      </x:c>
      <x:c r="C10" t="str">
        <x:v>Escalonada</x:v>
      </x:c>
      <x:c r="D10" t="n">
        <x:v>55</x:v>
      </x:c>
      <x:c r="E10" t="n">
        <x:v>75</x:v>
      </x:c>
      <x:c r="F10" t="str">
        <x:v>Sí</x:v>
      </x:c>
      <x:c r="G10" t="str">
        <x:v>Prueba DEV Frailes</x:v>
      </x:c>
    </x:row>
    <x:row r="11">
      <x:c r="A11" t="str">
        <x:v>CUL_CEBOLLA</x:v>
      </x:c>
      <x:c r="B11" t="str">
        <x:v>Cebolla</x:v>
      </x:c>
      <x:c r="C11" t="str">
        <x:v>Única</x:v>
      </x:c>
      <x:c r="D11" t="n">
        <x:v>100</x:v>
      </x:c>
      <x:c r="E11" t="n">
        <x:v>150</x:v>
      </x:c>
      <x:c r="F11" t="str">
        <x:v>Sí</x:v>
      </x:c>
      <x:c r="G11" t="str">
        <x:v>Medición futura</x:v>
      </x:c>
    </x:row>
    <x:row r="12">
      <x:c r="A12" t="str">
        <x:v>CUL_PEREJIL_NORMAL</x:v>
      </x:c>
      <x:c r="B12" t="str">
        <x:v>Perejil normal</x:v>
      </x:c>
      <x:c r="C12" t="str">
        <x:v>Corte/Rebrote</x:v>
      </x:c>
      <x:c r="D12" t="n">
        <x:v>70</x:v>
      </x:c>
      <x:c r="E12" t="n">
        <x:v>90</x:v>
      </x:c>
      <x:c r="F12" t="str">
        <x:v>Sí</x:v>
      </x:c>
      <x:c r="G12" t="str">
        <x:v>Moravia ideal</x:v>
      </x:c>
    </x:row>
    <x:row r="13">
      <x:c r="A13" t="str">
        <x:v>CUL_TOMILLO</x:v>
      </x:c>
      <x:c r="B13" t="str">
        <x:v>Tomillo</x:v>
      </x:c>
      <x:c r="C13" t="str">
        <x:v>Corte/Rebrote</x:v>
      </x:c>
      <x:c r="D13" t="n">
        <x:v>90</x:v>
      </x:c>
      <x:c r="E13" t="n">
        <x:v>120</x:v>
      </x:c>
      <x:c r="F13" t="str">
        <x:v>Sí</x:v>
      </x:c>
      <x:c r="G13" t="str">
        <x:v>Moravia ideal</x:v>
      </x:c>
    </x:row>
  </x:sheetData>
  <x:pageMargins left="0.7" right="0.7" top="0.75" bottom="0.75" header="0.3" footer="0.3"/>
  <x:tableParts count="1">
    <x:tablePart xmlns:r="http://schemas.openxmlformats.org/officeDocument/2006/relationships" r:id="R51d91af8a7a440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1.4399995803833" hidden="0" customWidth="1"/>
    <x:col min="3" max="3" width="16.959999084472656" hidden="0" customWidth="1"/>
    <x:col min="4" max="4" width="19.110000610351562" hidden="0" customWidth="1"/>
    <x:col min="5" max="5" width="12.380000114440918" hidden="0" customWidth="1"/>
    <x:col min="6" max="6" width="14.130000114440918" hidden="0" customWidth="1"/>
    <x:col min="7" max="7" width="7.269999980926514" hidden="0" customWidth="1"/>
    <x:col min="8" max="8" width="13.729999542236328" hidden="0" customWidth="1"/>
    <x:col min="9" max="9" width="9.5600004196167" hidden="0" customWidth="1"/>
    <x:col min="10" max="10" width="10.899999618530273" hidden="0" customWidth="1"/>
    <x:col min="11" max="11" width="11.3100004196167" hidden="0" customWidth="1"/>
    <x:col min="12" max="12" width="10.630000114440918" hidden="0" customWidth="1"/>
    <x:col min="13" max="13" width="24.760000228881836" hidden="0" customWidth="1"/>
  </x:cols>
  <x:sheetData>
    <x:row r="1">
      <x:c r="A1" s="24" t="str">
        <x:v>Siembra_ID</x:v>
      </x:c>
      <x:c r="B1" s="24" t="str">
        <x:v>Finca_ID</x:v>
      </x:c>
      <x:c r="C1" s="24" t="str">
        <x:v>Unidad_ID</x:v>
      </x:c>
      <x:c r="D1" s="24" t="str">
        <x:v>Cultivo_ID</x:v>
      </x:c>
      <x:c r="E1" s="30" t="str">
        <x:v>Fecha_Siembra</x:v>
      </x:c>
      <x:c r="F1" s="30" t="str">
        <x:v>Fecha_Trasplante</x:v>
      </x:c>
      <x:c r="G1" s="30" t="str">
        <x:v>Cantidad</x:v>
      </x:c>
      <x:c r="H1" s="30" t="str">
        <x:v>Estado_Actual</x:v>
      </x:c>
      <x:c r="I1" s="30" t="str">
        <x:v>Fecha_Base</x:v>
      </x:c>
      <x:c r="J1" s="30" t="str">
        <x:v>Cosecha_Min</x:v>
      </x:c>
      <x:c r="K1" s="30" t="str">
        <x:v>Cosecha_Max</x:v>
      </x:c>
      <x:c r="L1" s="24" t="str">
        <x:v>Estado_Ficha</x:v>
      </x:c>
      <x:c r="M1" s="24" t="str">
        <x:v>Notas</x:v>
      </x:c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t="str">
        <x:v>SIE_DEV_001</x:v>
      </x:c>
      <x:c r="B2" t="str">
        <x:v>FIN_MORAVIA</x:v>
      </x:c>
      <x:c r="C2" t="str">
        <x:v>UNI_MOR_CAMA_01</x:v>
      </x:c>
      <x:c r="D2" t="str">
        <x:v>CUL_CEBOLLINO</x:v>
      </x:c>
      <x:c r="E2" t="n">
        <x:v>46154</x:v>
      </x:c>
      <x:c r="F2"/>
      <x:c r="G2" t="n">
        <x:v>8</x:v>
      </x:c>
      <x:c r="H2" t="str">
        <x:v>Crecimiento</x:v>
      </x:c>
      <x:c r="I2" t="n">
        <x:f>IF(F2&lt;&gt;"",F2,IF(E2&lt;&gt;"",E2,""))</x:f>
        <x:v>46154</x:v>
      </x:c>
      <x:c r="J2" t="n">
        <x:f>IF(I2="","",I2+INDEX(CatalogoCultivos!D:D,MATCH(D2,CatalogoCultivos!A:A,0)))</x:f>
        <x:v>46214</x:v>
      </x:c>
      <x:c r="K2" t="n">
        <x:f>IF(I2="","",I2+INDEX(CatalogoCultivos!E:E,MATCH(D2,CatalogoCultivos!A:A,0)))</x:f>
        <x:v>46244</x:v>
      </x:c>
      <x:c r="L2" t="str">
        <x:v>DEV</x:v>
      </x:c>
      <x:c r="M2" t="str">
        <x:v>Dato de prueba</x:v>
      </x:c>
    </x:row>
    <x:row r="3">
      <x:c r="A3" t="str">
        <x:v>SIE_DEV_002</x:v>
      </x:c>
      <x:c r="B3" t="str">
        <x:v>FIN_MORAVIA</x:v>
      </x:c>
      <x:c r="C3" t="str">
        <x:v>UNI_MOR_CAMA_01</x:v>
      </x:c>
      <x:c r="D3" t="str">
        <x:v>CUL_TOMATE_CHERRY</x:v>
      </x:c>
      <x:c r="E3" t="n">
        <x:v>46162</x:v>
      </x:c>
      <x:c r="F3" t="n">
        <x:v>46174</x:v>
      </x:c>
      <x:c r="G3" t="n">
        <x:v>4</x:v>
      </x:c>
      <x:c r="H3" t="str">
        <x:v>Floración</x:v>
      </x:c>
      <x:c r="I3" t="n">
        <x:f>IF(F3&lt;&gt;"",F3,IF(E3&lt;&gt;"",E3,""))</x:f>
        <x:v>46174</x:v>
      </x:c>
      <x:c r="J3" t="n">
        <x:f>IF(I3="","",I3+INDEX(CatalogoCultivos!D:D,MATCH(D3,CatalogoCultivos!A:A,0)))</x:f>
        <x:v>46244</x:v>
      </x:c>
      <x:c r="K3" t="n">
        <x:f>IF(I3="","",I3+INDEX(CatalogoCultivos!E:E,MATCH(D3,CatalogoCultivos!A:A,0)))</x:f>
        <x:v>46274</x:v>
      </x:c>
      <x:c r="L3" t="str">
        <x:v>DEV</x:v>
      </x:c>
      <x:c r="M3" t="str">
        <x:v>Dato de prueba</x:v>
      </x:c>
    </x:row>
    <x:row r="4">
      <x:c r="A4" t="str">
        <x:v>SIE_DEV_003</x:v>
      </x:c>
      <x:c r="B4" t="str">
        <x:v>FIN_MORAVIA</x:v>
      </x:c>
      <x:c r="C4" t="str">
        <x:v>UNI_MOR_CAMA_01</x:v>
      </x:c>
      <x:c r="D4" t="str">
        <x:v>CUL_LECHUGA</x:v>
      </x:c>
      <x:c r="E4" t="n">
        <x:v>46174</x:v>
      </x:c>
      <x:c r="F4"/>
      <x:c r="G4" t="n">
        <x:v>6</x:v>
      </x:c>
      <x:c r="H4" t="str">
        <x:v>Crecimiento</x:v>
      </x:c>
      <x:c r="I4" t="n">
        <x:f>IF(F4&lt;&gt;"",F4,IF(E4&lt;&gt;"",E4,""))</x:f>
        <x:v>46174</x:v>
      </x:c>
      <x:c r="J4" t="n">
        <x:f>IF(I4="","",I4+INDEX(CatalogoCultivos!D:D,MATCH(D4,CatalogoCultivos!A:A,0)))</x:f>
        <x:v>46209</x:v>
      </x:c>
      <x:c r="K4" t="n">
        <x:f>IF(I4="","",I4+INDEX(CatalogoCultivos!E:E,MATCH(D4,CatalogoCultivos!A:A,0)))</x:f>
        <x:v>46224</x:v>
      </x:c>
      <x:c r="L4" t="str">
        <x:v>DEV</x:v>
      </x:c>
      <x:c r="M4" t="str">
        <x:v>Dato de prueba</x:v>
      </x:c>
    </x:row>
    <x:row r="5">
      <x:c r="A5" t="str">
        <x:v>SIE_DEV_004</x:v>
      </x:c>
      <x:c r="B5" t="str">
        <x:v>FIN_MORAVIA</x:v>
      </x:c>
      <x:c r="C5" t="str">
        <x:v>UNI_MOR_CAMA_01</x:v>
      </x:c>
      <x:c r="D5" t="str">
        <x:v>CUL_APIO</x:v>
      </x:c>
      <x:c r="E5" t="n">
        <x:v>46160</x:v>
      </x:c>
      <x:c r="F5" t="n">
        <x:v>46175</x:v>
      </x:c>
      <x:c r="G5" t="n">
        <x:v>3</x:v>
      </x:c>
      <x:c r="H5" t="str">
        <x:v>Crecimiento</x:v>
      </x:c>
      <x:c r="I5" t="n">
        <x:f>IF(F5&lt;&gt;"",F5,IF(E5&lt;&gt;"",E5,""))</x:f>
        <x:v>46175</x:v>
      </x:c>
      <x:c r="J5" t="n">
        <x:f>IF(I5="","",I5+INDEX(CatalogoCultivos!D:D,MATCH(D5,CatalogoCultivos!A:A,0)))</x:f>
        <x:v>46265</x:v>
      </x:c>
      <x:c r="K5" t="n">
        <x:f>IF(I5="","",I5+INDEX(CatalogoCultivos!E:E,MATCH(D5,CatalogoCultivos!A:A,0)))</x:f>
        <x:v>46295</x:v>
      </x:c>
      <x:c r="L5" t="str">
        <x:v>DEV</x:v>
      </x:c>
      <x:c r="M5" t="str">
        <x:v>Dato de prueba</x:v>
      </x:c>
    </x:row>
    <x:row r="6">
      <x:c r="A6" t="str">
        <x:v>SIE_DEV_005</x:v>
      </x:c>
      <x:c r="B6" t="str">
        <x:v>FIN_MORAVIA</x:v>
      </x:c>
      <x:c r="C6" t="str">
        <x:v>UNI_MOR_CAMA_01</x:v>
      </x:c>
      <x:c r="D6" t="str">
        <x:v>CUL_ESPINACA</x:v>
      </x:c>
      <x:c r="E6" t="n">
        <x:v>46174</x:v>
      </x:c>
      <x:c r="F6"/>
      <x:c r="G6" t="n">
        <x:v>10</x:v>
      </x:c>
      <x:c r="H6" t="str">
        <x:v>Crecimiento</x:v>
      </x:c>
      <x:c r="I6" t="n">
        <x:f>IF(F6&lt;&gt;"",F6,IF(E6&lt;&gt;"",E6,""))</x:f>
        <x:v>46174</x:v>
      </x:c>
      <x:c r="J6" t="n">
        <x:f>IF(I6="","",I6+INDEX(CatalogoCultivos!D:D,MATCH(D6,CatalogoCultivos!A:A,0)))</x:f>
        <x:v>46214</x:v>
      </x:c>
      <x:c r="K6" t="n">
        <x:f>IF(I6="","",I6+INDEX(CatalogoCultivos!E:E,MATCH(D6,CatalogoCultivos!A:A,0)))</x:f>
        <x:v>46234</x:v>
      </x:c>
      <x:c r="L6" t="str">
        <x:v>DEV</x:v>
      </x:c>
      <x:c r="M6" t="str">
        <x:v>Dato de prueba</x:v>
      </x:c>
    </x:row>
    <x:row r="7">
      <x:c r="A7" t="str">
        <x:v>SIE_DEV_006</x:v>
      </x:c>
      <x:c r="B7" t="str">
        <x:v>FIN_FRAILES</x:v>
      </x:c>
      <x:c r="C7" t="str">
        <x:v>UNI_FRA_CAMA_01</x:v>
      </x:c>
      <x:c r="D7" t="str">
        <x:v>CUL_TOMATE_NORMAL</x:v>
      </x:c>
      <x:c r="E7" t="n">
        <x:v>46157</x:v>
      </x:c>
      <x:c r="F7" t="n">
        <x:v>46174</x:v>
      </x:c>
      <x:c r="G7" t="n">
        <x:v>6</x:v>
      </x:c>
      <x:c r="H7" t="str">
        <x:v>Crecimiento</x:v>
      </x:c>
      <x:c r="I7" t="n">
        <x:f>IF(F7&lt;&gt;"",F7,IF(E7&lt;&gt;"",E7,""))</x:f>
        <x:v>46174</x:v>
      </x:c>
      <x:c r="J7" t="n">
        <x:f>IF(I7="","",I7+INDEX(CatalogoCultivos!D:D,MATCH(D7,CatalogoCultivos!A:A,0)))</x:f>
        <x:v>46264</x:v>
      </x:c>
      <x:c r="K7" t="n">
        <x:f>IF(I7="","",I7+INDEX(CatalogoCultivos!E:E,MATCH(D7,CatalogoCultivos!A:A,0)))</x:f>
        <x:v>46294</x:v>
      </x:c>
      <x:c r="L7" t="str">
        <x:v>DEV</x:v>
      </x:c>
      <x:c r="M7" t="str">
        <x:v>Dato de prueba</x:v>
      </x:c>
    </x:row>
    <x:row r="8">
      <x:c r="A8" t="str">
        <x:v>SIE_DEV_007</x:v>
      </x:c>
      <x:c r="B8" t="str">
        <x:v>FIN_FRAILES</x:v>
      </x:c>
      <x:c r="C8" t="str">
        <x:v>UNI_FRA_CAMA_02</x:v>
      </x:c>
      <x:c r="D8" t="str">
        <x:v>CUL_ZANAHORIA</x:v>
      </x:c>
      <x:c r="E8" t="n">
        <x:v>46167</x:v>
      </x:c>
      <x:c r="F8"/>
      <x:c r="G8" t="n">
        <x:v>20</x:v>
      </x:c>
      <x:c r="H8" t="str">
        <x:v>Crecimiento</x:v>
      </x:c>
      <x:c r="I8" t="n">
        <x:f>IF(F8&lt;&gt;"",F8,IF(E8&lt;&gt;"",E8,""))</x:f>
        <x:v>46167</x:v>
      </x:c>
      <x:c r="J8" t="n">
        <x:f>IF(I8="","",I8+INDEX(CatalogoCultivos!D:D,MATCH(D8,CatalogoCultivos!A:A,0)))</x:f>
        <x:v>46247</x:v>
      </x:c>
      <x:c r="K8" t="n">
        <x:f>IF(I8="","",I8+INDEX(CatalogoCultivos!E:E,MATCH(D8,CatalogoCultivos!A:A,0)))</x:f>
        <x:v>46277</x:v>
      </x:c>
      <x:c r="L8" t="str">
        <x:v>DEV</x:v>
      </x:c>
      <x:c r="M8" t="str">
        <x:v>Dato de prueba</x:v>
      </x:c>
    </x:row>
    <x:row r="9">
      <x:c r="A9" t="str">
        <x:v>SIE_DEV_008</x:v>
      </x:c>
      <x:c r="B9" t="str">
        <x:v>FIN_FRAILES</x:v>
      </x:c>
      <x:c r="C9" t="str">
        <x:v>UNI_FRA_CAMA_03</x:v>
      </x:c>
      <x:c r="D9" t="str">
        <x:v>CUL_PEPINO</x:v>
      </x:c>
      <x:c r="E9" t="n">
        <x:v>46162</x:v>
      </x:c>
      <x:c r="F9" t="n">
        <x:v>46178</x:v>
      </x:c>
      <x:c r="G9" t="n">
        <x:v>4</x:v>
      </x:c>
      <x:c r="H9" t="str">
        <x:v>Floración</x:v>
      </x:c>
      <x:c r="I9" t="n">
        <x:f>IF(F9&lt;&gt;"",F9,IF(E9&lt;&gt;"",E9,""))</x:f>
        <x:v>46178</x:v>
      </x:c>
      <x:c r="J9" t="n">
        <x:f>IF(I9="","",I9+INDEX(CatalogoCultivos!D:D,MATCH(D9,CatalogoCultivos!A:A,0)))</x:f>
        <x:v>46223</x:v>
      </x:c>
      <x:c r="K9" t="n">
        <x:f>IF(I9="","",I9+INDEX(CatalogoCultivos!E:E,MATCH(D9,CatalogoCultivos!A:A,0)))</x:f>
        <x:v>46243</x:v>
      </x:c>
      <x:c r="L9" t="str">
        <x:v>DEV</x:v>
      </x:c>
      <x:c r="M9" t="str">
        <x:v>Dato de prueba</x:v>
      </x:c>
    </x:row>
    <x:row r="10">
      <x:c r="A10" t="str">
        <x:v>SIE_DEV_009</x:v>
      </x:c>
      <x:c r="B10" t="str">
        <x:v>FIN_FRAILES</x:v>
      </x:c>
      <x:c r="C10" t="str">
        <x:v>UNI_FRA_CAMA_04</x:v>
      </x:c>
      <x:c r="D10" t="str">
        <x:v>CUL_VAINICA</x:v>
      </x:c>
      <x:c r="E10" t="n">
        <x:v>46176</x:v>
      </x:c>
      <x:c r="F10"/>
      <x:c r="G10" t="n">
        <x:v>12</x:v>
      </x:c>
      <x:c r="H10" t="str">
        <x:v>Germinación</x:v>
      </x:c>
      <x:c r="I10" t="n">
        <x:f>IF(F10&lt;&gt;"",F10,IF(E10&lt;&gt;"",E10,""))</x:f>
        <x:v>46176</x:v>
      </x:c>
      <x:c r="J10" t="n">
        <x:f>IF(I10="","",I10+INDEX(CatalogoCultivos!D:D,MATCH(D10,CatalogoCultivos!A:A,0)))</x:f>
        <x:v>46231</x:v>
      </x:c>
      <x:c r="K10" t="n">
        <x:f>IF(I10="","",I10+INDEX(CatalogoCultivos!E:E,MATCH(D10,CatalogoCultivos!A:A,0)))</x:f>
        <x:v>46251</x:v>
      </x:c>
      <x:c r="L10" t="str">
        <x:v>DEV</x:v>
      </x:c>
      <x:c r="M10" t="str">
        <x:v>Dato de prueba</x:v>
      </x:c>
    </x:row>
    <x:row r="11">
      <x:c r="A11" t="str">
        <x:v>SIE_DEV_010</x:v>
      </x:c>
      <x:c r="B11" t="str">
        <x:v>FIN_FRAILES</x:v>
      </x:c>
      <x:c r="C11" t="str">
        <x:v>UNI_FRA_CAMA_05</x:v>
      </x:c>
      <x:c r="D11" t="str">
        <x:v>CUL_LECHUGA</x:v>
      </x:c>
      <x:c r="E11" t="n">
        <x:v>46180</x:v>
      </x:c>
      <x:c r="F11"/>
      <x:c r="G11" t="n">
        <x:v>8</x:v>
      </x:c>
      <x:c r="H11" t="str">
        <x:v>Recién sembrado</x:v>
      </x:c>
      <x:c r="I11" t="n">
        <x:f>IF(F11&lt;&gt;"",F11,IF(E11&lt;&gt;"",E11,""))</x:f>
        <x:v>46180</x:v>
      </x:c>
      <x:c r="J11" t="n">
        <x:f>IF(I11="","",I11+INDEX(CatalogoCultivos!D:D,MATCH(D11,CatalogoCultivos!A:A,0)))</x:f>
        <x:v>46215</x:v>
      </x:c>
      <x:c r="K11" t="n">
        <x:f>IF(I11="","",I11+INDEX(CatalogoCultivos!E:E,MATCH(D11,CatalogoCultivos!A:A,0)))</x:f>
        <x:v>46230</x:v>
      </x:c>
      <x:c r="L11" t="str">
        <x:v>DEV</x:v>
      </x:c>
      <x:c r="M11" t="str">
        <x:v>Dato de prueba</x:v>
      </x:c>
    </x:row>
    <x:row r="12">
      <x:c r="A12" t="str">
        <x:v>SIE_DEV_011</x:v>
      </x:c>
      <x:c r="B12" t="str">
        <x:v>FIN_FRAILES</x:v>
      </x:c>
      <x:c r="C12" t="str">
        <x:v>UNI_FRA_CAMA_06</x:v>
      </x:c>
      <x:c r="D12" t="str">
        <x:v>CUL_TOMATE_NORMAL</x:v>
      </x:c>
      <x:c r="E12" t="n">
        <x:v>46174</x:v>
      </x:c>
      <x:c r="F12" t="n">
        <x:v>46183</x:v>
      </x:c>
      <x:c r="G12" t="n">
        <x:v>5</x:v>
      </x:c>
      <x:c r="H12" t="str">
        <x:v>Trasplante</x:v>
      </x:c>
      <x:c r="I12" t="n">
        <x:f>IF(F12&lt;&gt;"",F12,IF(E12&lt;&gt;"",E12,""))</x:f>
        <x:v>46183</x:v>
      </x:c>
      <x:c r="J12" t="n">
        <x:f>IF(I12="","",I12+INDEX(CatalogoCultivos!D:D,MATCH(D12,CatalogoCultivos!A:A,0)))</x:f>
        <x:v>46273</x:v>
      </x:c>
      <x:c r="K12" t="n">
        <x:f>IF(I12="","",I12+INDEX(CatalogoCultivos!E:E,MATCH(D12,CatalogoCultivos!A:A,0)))</x:f>
        <x:v>46303</x:v>
      </x:c>
      <x:c r="L12" t="str">
        <x:v>DEV</x:v>
      </x:c>
      <x:c r="M12" t="str">
        <x:v>Ejemplo para consultar Cama 6</x:v>
      </x:c>
    </x:row>
    <x:row r="13">
      <x:c r="A13" t="str">
        <x:v>SIE_DEV_012</x:v>
      </x:c>
      <x:c r="B13" t="str">
        <x:v>FIN_FRAILES</x:v>
      </x:c>
      <x:c r="C13" t="str">
        <x:v>UNI_FRA_CAMA_06</x:v>
      </x:c>
      <x:c r="D13" t="str">
        <x:v>CUL_LECHUGA</x:v>
      </x:c>
      <x:c r="E13" t="n">
        <x:v>46183</x:v>
      </x:c>
      <x:c r="F13"/>
      <x:c r="G13" t="n">
        <x:v>6</x:v>
      </x:c>
      <x:c r="H13" t="str">
        <x:v>Crecimiento</x:v>
      </x:c>
      <x:c r="I13" t="n">
        <x:f>IF(F13&lt;&gt;"",F13,IF(E13&lt;&gt;"",E13,""))</x:f>
        <x:v>46183</x:v>
      </x:c>
      <x:c r="J13" t="n">
        <x:f>IF(I13="","",I13+INDEX(CatalogoCultivos!D:D,MATCH(D13,CatalogoCultivos!A:A,0)))</x:f>
        <x:v>46218</x:v>
      </x:c>
      <x:c r="K13" t="n">
        <x:f>IF(I13="","",I13+INDEX(CatalogoCultivos!E:E,MATCH(D13,CatalogoCultivos!A:A,0)))</x:f>
        <x:v>46233</x:v>
      </x:c>
      <x:c r="L13" t="str">
        <x:v>DEV</x:v>
      </x:c>
      <x:c r="M13" t="str">
        <x:v>Ejemplo para consultar Cama 6</x:v>
      </x:c>
    </x:row>
    <x:row r="14">
      <x:c r="A14" t="str">
        <x:v>SIE_DEV_013</x:v>
      </x:c>
      <x:c r="B14" t="str">
        <x:v>FIN_FRAILES</x:v>
      </x:c>
      <x:c r="C14" t="str">
        <x:v>UNI_FRA_CAMA_07</x:v>
      </x:c>
      <x:c r="D14" t="str">
        <x:v>CUL_CEBOLLA</x:v>
      </x:c>
      <x:c r="E14"/>
      <x:c r="F14"/>
      <x:c r="G14" t="n">
        <x:v>15</x:v>
      </x:c>
      <x:c r="H14" t="str">
        <x:v>Sin fecha</x:v>
      </x:c>
      <x:c r="I14" t="str">
        <x:f>IF(F14&lt;&gt;"",F14,IF(E14&lt;&gt;"",E14,""))</x:f>
      </x:c>
      <x:c r="J14" t="str">
        <x:f>IF(I14="","",I14+INDEX(CatalogoCultivos!D:D,MATCH(D14,CatalogoCultivos!A:A,0)))</x:f>
      </x:c>
      <x:c r="K14" t="str">
        <x:f>IF(I14="","",I14+INDEX(CatalogoCultivos!E:E,MATCH(D14,CatalogoCultivos!A:A,0)))</x:f>
      </x:c>
      <x:c r="L14" t="str">
        <x:v>Incompleta</x:v>
      </x:c>
      <x:c r="M14" t="str">
        <x:v>Error intencional: falta fecha</x:v>
      </x:c>
    </x:row>
  </x:sheetData>
  <x:conditionalFormatting sqref="L2:L14">
    <x:cfRule type="expression" dxfId="0" priority="1">
      <x:formula>$L2="Incompleta"</x:formula>
    </x:cfRule>
  </x:conditionalFormatting>
  <x:conditionalFormatting sqref="I2:I14">
    <x:cfRule type="expression" dxfId="1" priority="2">
      <x:formula>$I2=""</x:formula>
    </x:cfRule>
  </x:conditionalFormatting>
  <x:dataValidations count="5">
    <x:dataValidation type="list" sqref="B2:B100">
      <x:formula1>Fincas!$A$2:$A$3</x:formula1>
    </x:dataValidation>
    <x:dataValidation type="list" sqref="C2:C100">
      <x:formula1>Unidades!$A$2:$A$11</x:formula1>
    </x:dataValidation>
    <x:dataValidation type="list" sqref="D2:D100">
      <x:formula1>CatalogoCultivos!$A$2:$A$13</x:formula1>
    </x:dataValidation>
    <x:dataValidation type="list" sqref="H2:H100">
      <x:formula1>"Recién sembrado,Germinación,Crecimiento,Trasplante,Floración,Fructificación,Cosecha,Fin de ciclo,Sin fecha"</x:formula1>
    </x:dataValidation>
    <x:dataValidation type="list" sqref="L2:L100">
      <x:formula1>"DEV,Completa,Incompleta"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5297e5aeaf4f3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10.359999656677246" hidden="0" customWidth="1"/>
    <x:col min="3" max="3" width="11.4399995803833" hidden="0" customWidth="1"/>
  </x:cols>
  <x:sheetData>
    <x:row r="1">
      <x:c r="A1" s="24" t="str">
        <x:v>Estados</x:v>
      </x:c>
      <x:c r="B1" s="24" t="str">
        <x:v>Tipo_Unidad</x:v>
      </x:c>
      <x:c r="C1" s="24" t="str">
        <x:v>Tipo_Cosecha</x:v>
      </x:c>
      <x:c r="D1" s="24"/>
      <x:c r="E1" s="24"/>
      <x:c r="F1" s="24"/>
      <x:c r="G1" s="24"/>
      <x:c r="H1" s="24"/>
      <x:c r="I1" s="24"/>
      <x:c r="J1" s="24"/>
      <x:c r="K1" s="24"/>
      <x:c r="L1" s="24"/>
      <x:c r="M1" s="24"/>
      <x:c r="N1" s="24"/>
      <x:c r="O1" s="24"/>
      <x:c r="P1" s="24"/>
      <x:c r="Q1" s="24"/>
      <x:c r="R1" s="24"/>
      <x:c r="S1" s="24"/>
      <x:c r="T1" s="24"/>
      <x:c r="U1" s="24"/>
      <x:c r="V1" s="24"/>
      <x:c r="W1" s="24"/>
      <x:c r="X1" s="24"/>
      <x:c r="Y1" s="24"/>
      <x:c r="Z1" s="24"/>
    </x:row>
    <x:row r="2">
      <x:c r="A2" t="str">
        <x:v>Activa</x:v>
      </x:c>
      <x:c r="B2" t="str">
        <x:v>Cama</x:v>
      </x:c>
      <x:c r="C2" t="str">
        <x:v>Única</x:v>
      </x:c>
    </x:row>
    <x:row r="3">
      <x:c r="A3" t="str">
        <x:v>Inactiva</x:v>
      </x:c>
      <x:c r="B3" t="str">
        <x:v>Árbol</x:v>
      </x:c>
      <x:c r="C3" t="str">
        <x:v>Escalonada</x:v>
      </x:c>
    </x:row>
    <x:row r="4">
      <x:c r="A4" t="str">
        <x:v>DEV</x:v>
      </x:c>
      <x:c r="B4" t="str">
        <x:v>Bloque</x:v>
      </x:c>
      <x:c r="C4" t="str">
        <x:v>Corte/Rebrote</x:v>
      </x:c>
    </x:row>
    <x:row r="5">
      <x:c r="A5" t="str">
        <x:v>Incompleta</x:v>
      </x:c>
      <x:c r="B5" t="str"/>
      <x:c r="C5" t="str"/>
    </x:row>
  </x:sheetData>
  <x:pageMargins left="0.7" right="0.7" top="0.75" bottom="0.75" header="0.3" footer="0.3"/>
  <x:tableParts count="1">
    <x:tablePart xmlns:r="http://schemas.openxmlformats.org/officeDocument/2006/relationships" r:id="R11dd665d0126426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16" hidden="0" customWidth="1"/>
    <x:col min="5" max="5" width="20" hidden="0" customWidth="1"/>
    <x:col min="6" max="6" width="10.359999656677246" hidden="0" customWidth="1"/>
    <x:col min="7" max="7" width="16" hidden="0" customWidth="1"/>
    <x:col min="8" max="8" width="20" hidden="0" customWidth="1"/>
    <x:col min="9" max="9" width="20" hidden="0" customWidth="1"/>
    <x:col min="10" max="10" width="7.269999980926514" hidden="0" customWidth="1"/>
    <x:col min="11" max="11" width="20" hidden="0" customWidth="1"/>
    <x:col min="12" max="12" width="12.380000114440918" hidden="0" customWidth="1"/>
    <x:col min="13" max="13" width="14.130000114440918" hidden="0" customWidth="1"/>
    <x:col min="14" max="14" width="9.5600004196167" hidden="0" customWidth="1"/>
    <x:col min="15" max="15" width="10.899999618530273" hidden="0" customWidth="1"/>
    <x:col min="16" max="16" width="11.3100004196167" hidden="0" customWidth="1"/>
    <x:col min="17" max="17" width="15.34000015258789" hidden="0" customWidth="1"/>
    <x:col min="18" max="18" width="14" hidden="0" customWidth="1"/>
    <x:col min="19" max="19" width="14" hidden="0" customWidth="1"/>
    <x:col min="20" max="20" width="18" hidden="0" customWidth="1"/>
    <x:col min="21" max="21" width="10.630000114440918" hidden="0" customWidth="1"/>
    <x:col min="22" max="22" width="20" hidden="0" customWidth="1"/>
  </x:cols>
  <x:sheetData>
    <x:row r="1">
      <x:c r="A1" s="36" t="str">
        <x:v>Siembra_ID</x:v>
      </x:c>
      <x:c r="B1" s="36" t="str">
        <x:v>Finca_ID</x:v>
      </x:c>
      <x:c r="C1" s="36" t="str">
        <x:v>Finca</x:v>
      </x:c>
      <x:c r="D1" s="36" t="str">
        <x:v>Unidad_ID</x:v>
      </x:c>
      <x:c r="E1" s="36" t="str">
        <x:v>Unidad</x:v>
      </x:c>
      <x:c r="F1" s="36" t="str">
        <x:v>Tipo_Unidad</x:v>
      </x:c>
      <x:c r="G1" s="36" t="str">
        <x:v>Cultivo_ID</x:v>
      </x:c>
      <x:c r="H1" s="36" t="str">
        <x:v>Cultivo</x:v>
      </x:c>
      <x:c r="I1" s="36" t="str">
        <x:v>Tipo_Cosecha</x:v>
      </x:c>
      <x:c r="J1" s="36" t="str">
        <x:v>Cantidad</x:v>
      </x:c>
      <x:c r="K1" s="36" t="str">
        <x:v>Estado_Actual</x:v>
      </x:c>
      <x:c r="L1" s="37" t="str">
        <x:v>Fecha_Siembra</x:v>
      </x:c>
      <x:c r="M1" s="37" t="str">
        <x:v>Fecha_Trasplante</x:v>
      </x:c>
      <x:c r="N1" s="37" t="str">
        <x:v>Fecha_Base</x:v>
      </x:c>
      <x:c r="O1" s="37" t="str">
        <x:v>Cosecha_Min</x:v>
      </x:c>
      <x:c r="P1" s="37" t="str">
        <x:v>Cosecha_Max</x:v>
      </x:c>
      <x:c r="Q1" s="36" t="str">
        <x:v>Mes_Cosecha_Min</x:v>
      </x:c>
      <x:c r="R1" s="36" t="str">
        <x:v>Mes_Cosecha_Max</x:v>
      </x:c>
      <x:c r="S1" s="36" t="str">
        <x:v>Dias_Para_Cosecha_Min</x:v>
      </x:c>
      <x:c r="T1" s="36" t="str">
        <x:v>Alerta_Datos</x:v>
      </x:c>
      <x:c r="U1" s="36" t="str">
        <x:v>Estado_Ficha</x:v>
      </x:c>
      <x:c r="V1" s="36" t="str">
        <x:v>Notas</x:v>
      </x:c>
    </x:row>
    <x:row r="2">
      <x:c r="A2" s="23" t="str">
        <x:f>IF(CultivosSembrados!A2="","",CultivosSembrados!A2)</x:f>
        <x:v>SIE_DEV_001</x:v>
      </x:c>
      <x:c r="B2" s="23" t="str">
        <x:f>IF(CultivosSembrados!A2="","",CultivosSembrados!B2)</x:f>
        <x:v>FIN_MORAVIA</x:v>
      </x:c>
      <x:c r="C2" s="23" t="str">
        <x:f>IF(A2="","",IFERROR(VLOOKUP(B2,Fincas!A:B,2,FALSE),""))</x:f>
        <x:v>Moravia</x:v>
      </x:c>
      <x:c r="D2" s="23" t="str">
        <x:f>IF(CultivosSembrados!A2="","",CultivosSembrados!C2)</x:f>
        <x:v>UNI_MOR_CAMA_01</x:v>
      </x:c>
      <x:c r="E2" s="23" t="str">
        <x:f>IF(A2="","",IFERROR(VLOOKUP(D2,Unidades!A:B,2,FALSE),""))</x:f>
        <x:v>Cama Moravia 1</x:v>
      </x:c>
      <x:c r="F2" s="23" t="str">
        <x:f>IF(A2="","",IFERROR(VLOOKUP(D2,Unidades!A:D,4,FALSE),""))</x:f>
        <x:v>Cama</x:v>
      </x:c>
      <x:c r="G2" s="23" t="str">
        <x:f>IF(CultivosSembrados!A2="","",CultivosSembrados!D2)</x:f>
        <x:v>CUL_CEBOLLINO</x:v>
      </x:c>
      <x:c r="H2" s="23" t="str">
        <x:f>IF(A2="","",IFERROR(VLOOKUP(G2,CatalogoCultivos!A:B,2,FALSE),""))</x:f>
        <x:v>Cebollino</x:v>
      </x:c>
      <x:c r="I2" s="23" t="str">
        <x:f>IF(A2="","",IFERROR(VLOOKUP(G2,CatalogoCultivos!A:C,3,FALSE),""))</x:f>
        <x:v>Corte/Rebrote</x:v>
      </x:c>
      <x:c r="J2" s="23" t="n">
        <x:f>IF(CultivosSembrados!A2="","",CultivosSembrados!G2)</x:f>
        <x:v>8</x:v>
      </x:c>
      <x:c r="K2" s="23" t="str">
        <x:f>IF(CultivosSembrados!A2="","",CultivosSembrados!H2)</x:f>
        <x:v>Crecimiento</x:v>
      </x:c>
      <x:c r="L2" s="23" t="n">
        <x:f>IF(A2="","",IFERROR(CultivosSembrados!E2,""))</x:f>
        <x:v>46154</x:v>
      </x:c>
      <x:c r="M2" s="23" t="str">
        <x:f>IF(A2="","",IFERROR(CultivosSembrados!F2,""))</x:f>
      </x:c>
      <x:c r="N2" s="23" t="n">
        <x:f>IF(A2="","",IFERROR(CultivosSembrados!I2,""))</x:f>
        <x:v>46154</x:v>
      </x:c>
      <x:c r="O2" s="23" t="n">
        <x:f>IF(A2="","",IFERROR(CultivosSembrados!J2,""))</x:f>
        <x:v>46214</x:v>
      </x:c>
      <x:c r="P2" s="23" t="n">
        <x:f>IF(A2="","",IFERROR(CultivosSembrados!K2,""))</x:f>
        <x:v>46244</x:v>
      </x:c>
      <x:c r="Q2" s="23" t="str">
        <x:f>IF(O2&lt;&gt;"",TEXT(O2,"yyyy-mm"),"")</x:f>
        <x:v>2026-07</x:v>
      </x:c>
      <x:c r="R2" s="23" t="str">
        <x:f>IF(P2&lt;&gt;"",TEXT(P2,"yyyy-mm"),"")</x:f>
        <x:v>2026-08</x:v>
      </x:c>
      <x:c r="S2" s="23" t="n">
        <x:f>IF(O2&lt;&gt;"",O2-TODAY(),"")</x:f>
        <x:v>33</x:v>
      </x:c>
      <x:c r="T2" s="23" t="str">
        <x:f>IF(A2="","",IF(N2="","Falta fecha base",IF(G2="","Falta cultivo",IF(D2="","Falta unidad","OK"))))</x:f>
        <x:v>OK</x:v>
      </x:c>
      <x:c r="U2" s="23" t="str">
        <x:f>IF(CultivosSembrados!A2="","",CultivosSembrados!L2)</x:f>
        <x:v>DEV</x:v>
      </x:c>
      <x:c r="V2" s="23" t="str">
        <x:f>IF(CultivosSembrados!A2="","",CultivosSembrados!M2)</x:f>
        <x:v>Dato de prueba</x:v>
      </x:c>
    </x:row>
    <x:row r="3">
      <x:c r="A3" s="23" t="str">
        <x:f>IF(CultivosSembrados!A3="","",CultivosSembrados!A3)</x:f>
        <x:v>SIE_DEV_002</x:v>
      </x:c>
      <x:c r="B3" s="23" t="str">
        <x:f>IF(CultivosSembrados!A3="","",CultivosSembrados!B3)</x:f>
        <x:v>FIN_MORAVIA</x:v>
      </x:c>
      <x:c r="C3" s="23" t="str">
        <x:f>IF(A3="","",IFERROR(VLOOKUP(B3,Fincas!A:B,2,FALSE),""))</x:f>
        <x:v>Moravia</x:v>
      </x:c>
      <x:c r="D3" s="23" t="str">
        <x:f>IF(CultivosSembrados!A3="","",CultivosSembrados!C3)</x:f>
        <x:v>UNI_MOR_CAMA_01</x:v>
      </x:c>
      <x:c r="E3" s="23" t="str">
        <x:f>IF(A3="","",IFERROR(VLOOKUP(D3,Unidades!A:B,2,FALSE),""))</x:f>
        <x:v>Cama Moravia 1</x:v>
      </x:c>
      <x:c r="F3" s="23" t="str">
        <x:f>IF(A3="","",IFERROR(VLOOKUP(D3,Unidades!A:D,4,FALSE),""))</x:f>
        <x:v>Cama</x:v>
      </x:c>
      <x:c r="G3" s="23" t="str">
        <x:f>IF(CultivosSembrados!A3="","",CultivosSembrados!D3)</x:f>
        <x:v>CUL_TOMATE_CHERRY</x:v>
      </x:c>
      <x:c r="H3" s="23" t="str">
        <x:f>IF(A3="","",IFERROR(VLOOKUP(G3,CatalogoCultivos!A:B,2,FALSE),""))</x:f>
        <x:v>Tomate cherry</x:v>
      </x:c>
      <x:c r="I3" s="23" t="str">
        <x:f>IF(A3="","",IFERROR(VLOOKUP(G3,CatalogoCultivos!A:C,3,FALSE),""))</x:f>
        <x:v>Escalonada</x:v>
      </x:c>
      <x:c r="J3" s="23" t="n">
        <x:f>IF(CultivosSembrados!A3="","",CultivosSembrados!G3)</x:f>
        <x:v>4</x:v>
      </x:c>
      <x:c r="K3" s="23" t="str">
        <x:f>IF(CultivosSembrados!A3="","",CultivosSembrados!H3)</x:f>
        <x:v>Floración</x:v>
      </x:c>
      <x:c r="L3" s="23" t="n">
        <x:f>IF(A3="","",IFERROR(CultivosSembrados!E3,""))</x:f>
        <x:v>46162</x:v>
      </x:c>
      <x:c r="M3" s="23" t="n">
        <x:f>IF(A3="","",IFERROR(CultivosSembrados!F3,""))</x:f>
        <x:v>46174</x:v>
      </x:c>
      <x:c r="N3" s="23" t="n">
        <x:f>IF(A3="","",IFERROR(CultivosSembrados!I3,""))</x:f>
        <x:v>46174</x:v>
      </x:c>
      <x:c r="O3" s="23" t="n">
        <x:f>IF(A3="","",IFERROR(CultivosSembrados!J3,""))</x:f>
        <x:v>46244</x:v>
      </x:c>
      <x:c r="P3" s="23" t="n">
        <x:f>IF(A3="","",IFERROR(CultivosSembrados!K3,""))</x:f>
        <x:v>46274</x:v>
      </x:c>
      <x:c r="Q3" s="23" t="str">
        <x:f>IF(O3&lt;&gt;"",TEXT(O3,"yyyy-mm"),"")</x:f>
        <x:v>2026-08</x:v>
      </x:c>
      <x:c r="R3" s="23" t="str">
        <x:f>IF(P3&lt;&gt;"",TEXT(P3,"yyyy-mm"),"")</x:f>
        <x:v>2026-09</x:v>
      </x:c>
      <x:c r="S3" s="23" t="n">
        <x:f>IF(O3&lt;&gt;"",O3-TODAY(),"")</x:f>
        <x:v>63</x:v>
      </x:c>
      <x:c r="T3" s="23" t="str">
        <x:f>IF(A3="","",IF(N3="","Falta fecha base",IF(G3="","Falta cultivo",IF(D3="","Falta unidad","OK"))))</x:f>
        <x:v>OK</x:v>
      </x:c>
      <x:c r="U3" s="23" t="str">
        <x:f>IF(CultivosSembrados!A3="","",CultivosSembrados!L3)</x:f>
        <x:v>DEV</x:v>
      </x:c>
      <x:c r="V3" s="23" t="str">
        <x:f>IF(CultivosSembrados!A3="","",CultivosSembrados!M3)</x:f>
        <x:v>Dato de prueba</x:v>
      </x:c>
    </x:row>
    <x:row r="4">
      <x:c r="A4" s="23" t="str">
        <x:f>IF(CultivosSembrados!A4="","",CultivosSembrados!A4)</x:f>
        <x:v>SIE_DEV_003</x:v>
      </x:c>
      <x:c r="B4" s="23" t="str">
        <x:f>IF(CultivosSembrados!A4="","",CultivosSembrados!B4)</x:f>
        <x:v>FIN_MORAVIA</x:v>
      </x:c>
      <x:c r="C4" s="23" t="str">
        <x:f>IF(A4="","",IFERROR(VLOOKUP(B4,Fincas!A:B,2,FALSE),""))</x:f>
        <x:v>Moravia</x:v>
      </x:c>
      <x:c r="D4" s="23" t="str">
        <x:f>IF(CultivosSembrados!A4="","",CultivosSembrados!C4)</x:f>
        <x:v>UNI_MOR_CAMA_01</x:v>
      </x:c>
      <x:c r="E4" s="23" t="str">
        <x:f>IF(A4="","",IFERROR(VLOOKUP(D4,Unidades!A:B,2,FALSE),""))</x:f>
        <x:v>Cama Moravia 1</x:v>
      </x:c>
      <x:c r="F4" s="23" t="str">
        <x:f>IF(A4="","",IFERROR(VLOOKUP(D4,Unidades!A:D,4,FALSE),""))</x:f>
        <x:v>Cama</x:v>
      </x:c>
      <x:c r="G4" s="23" t="str">
        <x:f>IF(CultivosSembrados!A4="","",CultivosSembrados!D4)</x:f>
        <x:v>CUL_LECHUGA</x:v>
      </x:c>
      <x:c r="H4" s="23" t="str">
        <x:f>IF(A4="","",IFERROR(VLOOKUP(G4,CatalogoCultivos!A:B,2,FALSE),""))</x:f>
        <x:v>Lechuga</x:v>
      </x:c>
      <x:c r="I4" s="23" t="str">
        <x:f>IF(A4="","",IFERROR(VLOOKUP(G4,CatalogoCultivos!A:C,3,FALSE),""))</x:f>
        <x:v>Única</x:v>
      </x:c>
      <x:c r="J4" s="23" t="n">
        <x:f>IF(CultivosSembrados!A4="","",CultivosSembrados!G4)</x:f>
        <x:v>6</x:v>
      </x:c>
      <x:c r="K4" s="23" t="str">
        <x:f>IF(CultivosSembrados!A4="","",CultivosSembrados!H4)</x:f>
        <x:v>Crecimiento</x:v>
      </x:c>
      <x:c r="L4" s="23" t="n">
        <x:f>IF(A4="","",IFERROR(CultivosSembrados!E4,""))</x:f>
        <x:v>46174</x:v>
      </x:c>
      <x:c r="M4" s="23" t="str">
        <x:f>IF(A4="","",IFERROR(CultivosSembrados!F4,""))</x:f>
      </x:c>
      <x:c r="N4" s="23" t="n">
        <x:f>IF(A4="","",IFERROR(CultivosSembrados!I4,""))</x:f>
        <x:v>46174</x:v>
      </x:c>
      <x:c r="O4" s="23" t="n">
        <x:f>IF(A4="","",IFERROR(CultivosSembrados!J4,""))</x:f>
        <x:v>46209</x:v>
      </x:c>
      <x:c r="P4" s="23" t="n">
        <x:f>IF(A4="","",IFERROR(CultivosSembrados!K4,""))</x:f>
        <x:v>46224</x:v>
      </x:c>
      <x:c r="Q4" s="23" t="str">
        <x:f>IF(O4&lt;&gt;"",TEXT(O4,"yyyy-mm"),"")</x:f>
        <x:v>2026-07</x:v>
      </x:c>
      <x:c r="R4" s="23" t="str">
        <x:f>IF(P4&lt;&gt;"",TEXT(P4,"yyyy-mm"),"")</x:f>
        <x:v>2026-07</x:v>
      </x:c>
      <x:c r="S4" s="23" t="n">
        <x:f>IF(O4&lt;&gt;"",O4-TODAY(),"")</x:f>
        <x:v>28</x:v>
      </x:c>
      <x:c r="T4" s="23" t="str">
        <x:f>IF(A4="","",IF(N4="","Falta fecha base",IF(G4="","Falta cultivo",IF(D4="","Falta unidad","OK"))))</x:f>
        <x:v>OK</x:v>
      </x:c>
      <x:c r="U4" s="23" t="str">
        <x:f>IF(CultivosSembrados!A4="","",CultivosSembrados!L4)</x:f>
        <x:v>DEV</x:v>
      </x:c>
      <x:c r="V4" s="23" t="str">
        <x:f>IF(CultivosSembrados!A4="","",CultivosSembrados!M4)</x:f>
        <x:v>Dato de prueba</x:v>
      </x:c>
    </x:row>
    <x:row r="5">
      <x:c r="A5" s="23" t="str">
        <x:f>IF(CultivosSembrados!A5="","",CultivosSembrados!A5)</x:f>
        <x:v>SIE_DEV_004</x:v>
      </x:c>
      <x:c r="B5" s="23" t="str">
        <x:f>IF(CultivosSembrados!A5="","",CultivosSembrados!B5)</x:f>
        <x:v>FIN_MORAVIA</x:v>
      </x:c>
      <x:c r="C5" s="23" t="str">
        <x:f>IF(A5="","",IFERROR(VLOOKUP(B5,Fincas!A:B,2,FALSE),""))</x:f>
        <x:v>Moravia</x:v>
      </x:c>
      <x:c r="D5" s="23" t="str">
        <x:f>IF(CultivosSembrados!A5="","",CultivosSembrados!C5)</x:f>
        <x:v>UNI_MOR_CAMA_01</x:v>
      </x:c>
      <x:c r="E5" s="23" t="str">
        <x:f>IF(A5="","",IFERROR(VLOOKUP(D5,Unidades!A:B,2,FALSE),""))</x:f>
        <x:v>Cama Moravia 1</x:v>
      </x:c>
      <x:c r="F5" s="23" t="str">
        <x:f>IF(A5="","",IFERROR(VLOOKUP(D5,Unidades!A:D,4,FALSE),""))</x:f>
        <x:v>Cama</x:v>
      </x:c>
      <x:c r="G5" s="23" t="str">
        <x:f>IF(CultivosSembrados!A5="","",CultivosSembrados!D5)</x:f>
        <x:v>CUL_APIO</x:v>
      </x:c>
      <x:c r="H5" s="23" t="str">
        <x:f>IF(A5="","",IFERROR(VLOOKUP(G5,CatalogoCultivos!A:B,2,FALSE),""))</x:f>
        <x:v>Apio</x:v>
      </x:c>
      <x:c r="I5" s="23" t="str">
        <x:f>IF(A5="","",IFERROR(VLOOKUP(G5,CatalogoCultivos!A:C,3,FALSE),""))</x:f>
        <x:v>Corte/Rebrote</x:v>
      </x:c>
      <x:c r="J5" s="23" t="n">
        <x:f>IF(CultivosSembrados!A5="","",CultivosSembrados!G5)</x:f>
        <x:v>3</x:v>
      </x:c>
      <x:c r="K5" s="23" t="str">
        <x:f>IF(CultivosSembrados!A5="","",CultivosSembrados!H5)</x:f>
        <x:v>Crecimiento</x:v>
      </x:c>
      <x:c r="L5" s="23" t="n">
        <x:f>IF(A5="","",IFERROR(CultivosSembrados!E5,""))</x:f>
        <x:v>46160</x:v>
      </x:c>
      <x:c r="M5" s="23" t="n">
        <x:f>IF(A5="","",IFERROR(CultivosSembrados!F5,""))</x:f>
        <x:v>46175</x:v>
      </x:c>
      <x:c r="N5" s="23" t="n">
        <x:f>IF(A5="","",IFERROR(CultivosSembrados!I5,""))</x:f>
        <x:v>46175</x:v>
      </x:c>
      <x:c r="O5" s="23" t="n">
        <x:f>IF(A5="","",IFERROR(CultivosSembrados!J5,""))</x:f>
        <x:v>46265</x:v>
      </x:c>
      <x:c r="P5" s="23" t="n">
        <x:f>IF(A5="","",IFERROR(CultivosSembrados!K5,""))</x:f>
        <x:v>46295</x:v>
      </x:c>
      <x:c r="Q5" s="23" t="str">
        <x:f>IF(O5&lt;&gt;"",TEXT(O5,"yyyy-mm"),"")</x:f>
        <x:v>2026-08</x:v>
      </x:c>
      <x:c r="R5" s="23" t="str">
        <x:f>IF(P5&lt;&gt;"",TEXT(P5,"yyyy-mm"),"")</x:f>
        <x:v>2026-09</x:v>
      </x:c>
      <x:c r="S5" s="23" t="n">
        <x:f>IF(O5&lt;&gt;"",O5-TODAY(),"")</x:f>
        <x:v>84</x:v>
      </x:c>
      <x:c r="T5" s="23" t="str">
        <x:f>IF(A5="","",IF(N5="","Falta fecha base",IF(G5="","Falta cultivo",IF(D5="","Falta unidad","OK"))))</x:f>
        <x:v>OK</x:v>
      </x:c>
      <x:c r="U5" s="23" t="str">
        <x:f>IF(CultivosSembrados!A5="","",CultivosSembrados!L5)</x:f>
        <x:v>DEV</x:v>
      </x:c>
      <x:c r="V5" s="23" t="str">
        <x:f>IF(CultivosSembrados!A5="","",CultivosSembrados!M5)</x:f>
        <x:v>Dato de prueba</x:v>
      </x:c>
    </x:row>
    <x:row r="6">
      <x:c r="A6" s="23" t="str">
        <x:f>IF(CultivosSembrados!A6="","",CultivosSembrados!A6)</x:f>
        <x:v>SIE_DEV_005</x:v>
      </x:c>
      <x:c r="B6" s="23" t="str">
        <x:f>IF(CultivosSembrados!A6="","",CultivosSembrados!B6)</x:f>
        <x:v>FIN_MORAVIA</x:v>
      </x:c>
      <x:c r="C6" s="23" t="str">
        <x:f>IF(A6="","",IFERROR(VLOOKUP(B6,Fincas!A:B,2,FALSE),""))</x:f>
        <x:v>Moravia</x:v>
      </x:c>
      <x:c r="D6" s="23" t="str">
        <x:f>IF(CultivosSembrados!A6="","",CultivosSembrados!C6)</x:f>
        <x:v>UNI_MOR_CAMA_01</x:v>
      </x:c>
      <x:c r="E6" s="23" t="str">
        <x:f>IF(A6="","",IFERROR(VLOOKUP(D6,Unidades!A:B,2,FALSE),""))</x:f>
        <x:v>Cama Moravia 1</x:v>
      </x:c>
      <x:c r="F6" s="23" t="str">
        <x:f>IF(A6="","",IFERROR(VLOOKUP(D6,Unidades!A:D,4,FALSE),""))</x:f>
        <x:v>Cama</x:v>
      </x:c>
      <x:c r="G6" s="23" t="str">
        <x:f>IF(CultivosSembrados!A6="","",CultivosSembrados!D6)</x:f>
        <x:v>CUL_ESPINACA</x:v>
      </x:c>
      <x:c r="H6" s="23" t="str">
        <x:f>IF(A6="","",IFERROR(VLOOKUP(G6,CatalogoCultivos!A:B,2,FALSE),""))</x:f>
        <x:v>Espinaca</x:v>
      </x:c>
      <x:c r="I6" s="23" t="str">
        <x:f>IF(A6="","",IFERROR(VLOOKUP(G6,CatalogoCultivos!A:C,3,FALSE),""))</x:f>
        <x:v>Corte/Rebrote</x:v>
      </x:c>
      <x:c r="J6" s="23" t="n">
        <x:f>IF(CultivosSembrados!A6="","",CultivosSembrados!G6)</x:f>
        <x:v>10</x:v>
      </x:c>
      <x:c r="K6" s="23" t="str">
        <x:f>IF(CultivosSembrados!A6="","",CultivosSembrados!H6)</x:f>
        <x:v>Crecimiento</x:v>
      </x:c>
      <x:c r="L6" s="23" t="n">
        <x:f>IF(A6="","",IFERROR(CultivosSembrados!E6,""))</x:f>
        <x:v>46174</x:v>
      </x:c>
      <x:c r="M6" s="23" t="str">
        <x:f>IF(A6="","",IFERROR(CultivosSembrados!F6,""))</x:f>
      </x:c>
      <x:c r="N6" s="23" t="n">
        <x:f>IF(A6="","",IFERROR(CultivosSembrados!I6,""))</x:f>
        <x:v>46174</x:v>
      </x:c>
      <x:c r="O6" s="23" t="n">
        <x:f>IF(A6="","",IFERROR(CultivosSembrados!J6,""))</x:f>
        <x:v>46214</x:v>
      </x:c>
      <x:c r="P6" s="23" t="n">
        <x:f>IF(A6="","",IFERROR(CultivosSembrados!K6,""))</x:f>
        <x:v>46234</x:v>
      </x:c>
      <x:c r="Q6" s="23" t="str">
        <x:f>IF(O6&lt;&gt;"",TEXT(O6,"yyyy-mm"),"")</x:f>
        <x:v>2026-07</x:v>
      </x:c>
      <x:c r="R6" s="23" t="str">
        <x:f>IF(P6&lt;&gt;"",TEXT(P6,"yyyy-mm"),"")</x:f>
        <x:v>2026-07</x:v>
      </x:c>
      <x:c r="S6" s="23" t="n">
        <x:f>IF(O6&lt;&gt;"",O6-TODAY(),"")</x:f>
        <x:v>33</x:v>
      </x:c>
      <x:c r="T6" s="23" t="str">
        <x:f>IF(A6="","",IF(N6="","Falta fecha base",IF(G6="","Falta cultivo",IF(D6="","Falta unidad","OK"))))</x:f>
        <x:v>OK</x:v>
      </x:c>
      <x:c r="U6" s="23" t="str">
        <x:f>IF(CultivosSembrados!A6="","",CultivosSembrados!L6)</x:f>
        <x:v>DEV</x:v>
      </x:c>
      <x:c r="V6" s="23" t="str">
        <x:f>IF(CultivosSembrados!A6="","",CultivosSembrados!M6)</x:f>
        <x:v>Dato de prueba</x:v>
      </x:c>
    </x:row>
    <x:row r="7">
      <x:c r="A7" s="23" t="str">
        <x:f>IF(CultivosSembrados!A7="","",CultivosSembrados!A7)</x:f>
        <x:v>SIE_DEV_006</x:v>
      </x:c>
      <x:c r="B7" s="23" t="str">
        <x:f>IF(CultivosSembrados!A7="","",CultivosSembrados!B7)</x:f>
        <x:v>FIN_FRAILES</x:v>
      </x:c>
      <x:c r="C7" s="23" t="str">
        <x:f>IF(A7="","",IFERROR(VLOOKUP(B7,Fincas!A:B,2,FALSE),""))</x:f>
        <x:v>Frailes</x:v>
      </x:c>
      <x:c r="D7" s="23" t="str">
        <x:f>IF(CultivosSembrados!A7="","",CultivosSembrados!C7)</x:f>
        <x:v>UNI_FRA_CAMA_01</x:v>
      </x:c>
      <x:c r="E7" s="23" t="str">
        <x:f>IF(A7="","",IFERROR(VLOOKUP(D7,Unidades!A:B,2,FALSE),""))</x:f>
        <x:v>Cama Frailes 1</x:v>
      </x:c>
      <x:c r="F7" s="23" t="str">
        <x:f>IF(A7="","",IFERROR(VLOOKUP(D7,Unidades!A:D,4,FALSE),""))</x:f>
        <x:v>Cama</x:v>
      </x:c>
      <x:c r="G7" s="23" t="str">
        <x:f>IF(CultivosSembrados!A7="","",CultivosSembrados!D7)</x:f>
        <x:v>CUL_TOMATE_NORMAL</x:v>
      </x:c>
      <x:c r="H7" s="23" t="str">
        <x:f>IF(A7="","",IFERROR(VLOOKUP(G7,CatalogoCultivos!A:B,2,FALSE),""))</x:f>
        <x:v>Tomate normal</x:v>
      </x:c>
      <x:c r="I7" s="23" t="str">
        <x:f>IF(A7="","",IFERROR(VLOOKUP(G7,CatalogoCultivos!A:C,3,FALSE),""))</x:f>
        <x:v>Escalonada</x:v>
      </x:c>
      <x:c r="J7" s="23" t="n">
        <x:f>IF(CultivosSembrados!A7="","",CultivosSembrados!G7)</x:f>
        <x:v>6</x:v>
      </x:c>
      <x:c r="K7" s="23" t="str">
        <x:f>IF(CultivosSembrados!A7="","",CultivosSembrados!H7)</x:f>
        <x:v>Crecimiento</x:v>
      </x:c>
      <x:c r="L7" s="23" t="n">
        <x:f>IF(A7="","",IFERROR(CultivosSembrados!E7,""))</x:f>
        <x:v>46157</x:v>
      </x:c>
      <x:c r="M7" s="23" t="n">
        <x:f>IF(A7="","",IFERROR(CultivosSembrados!F7,""))</x:f>
        <x:v>46174</x:v>
      </x:c>
      <x:c r="N7" s="23" t="n">
        <x:f>IF(A7="","",IFERROR(CultivosSembrados!I7,""))</x:f>
        <x:v>46174</x:v>
      </x:c>
      <x:c r="O7" s="23" t="n">
        <x:f>IF(A7="","",IFERROR(CultivosSembrados!J7,""))</x:f>
        <x:v>46264</x:v>
      </x:c>
      <x:c r="P7" s="23" t="n">
        <x:f>IF(A7="","",IFERROR(CultivosSembrados!K7,""))</x:f>
        <x:v>46294</x:v>
      </x:c>
      <x:c r="Q7" s="23" t="str">
        <x:f>IF(O7&lt;&gt;"",TEXT(O7,"yyyy-mm"),"")</x:f>
        <x:v>2026-08</x:v>
      </x:c>
      <x:c r="R7" s="23" t="str">
        <x:f>IF(P7&lt;&gt;"",TEXT(P7,"yyyy-mm"),"")</x:f>
        <x:v>2026-09</x:v>
      </x:c>
      <x:c r="S7" s="23" t="n">
        <x:f>IF(O7&lt;&gt;"",O7-TODAY(),"")</x:f>
        <x:v>83</x:v>
      </x:c>
      <x:c r="T7" s="23" t="str">
        <x:f>IF(A7="","",IF(N7="","Falta fecha base",IF(G7="","Falta cultivo",IF(D7="","Falta unidad","OK"))))</x:f>
        <x:v>OK</x:v>
      </x:c>
      <x:c r="U7" s="23" t="str">
        <x:f>IF(CultivosSembrados!A7="","",CultivosSembrados!L7)</x:f>
        <x:v>DEV</x:v>
      </x:c>
      <x:c r="V7" s="23" t="str">
        <x:f>IF(CultivosSembrados!A7="","",CultivosSembrados!M7)</x:f>
        <x:v>Dato de prueba</x:v>
      </x:c>
    </x:row>
    <x:row r="8">
      <x:c r="A8" s="23" t="str">
        <x:f>IF(CultivosSembrados!A8="","",CultivosSembrados!A8)</x:f>
        <x:v>SIE_DEV_007</x:v>
      </x:c>
      <x:c r="B8" s="23" t="str">
        <x:f>IF(CultivosSembrados!A8="","",CultivosSembrados!B8)</x:f>
        <x:v>FIN_FRAILES</x:v>
      </x:c>
      <x:c r="C8" s="23" t="str">
        <x:f>IF(A8="","",IFERROR(VLOOKUP(B8,Fincas!A:B,2,FALSE),""))</x:f>
        <x:v>Frailes</x:v>
      </x:c>
      <x:c r="D8" s="23" t="str">
        <x:f>IF(CultivosSembrados!A8="","",CultivosSembrados!C8)</x:f>
        <x:v>UNI_FRA_CAMA_02</x:v>
      </x:c>
      <x:c r="E8" s="23" t="str">
        <x:f>IF(A8="","",IFERROR(VLOOKUP(D8,Unidades!A:B,2,FALSE),""))</x:f>
        <x:v>Cama Frailes 2</x:v>
      </x:c>
      <x:c r="F8" s="23" t="str">
        <x:f>IF(A8="","",IFERROR(VLOOKUP(D8,Unidades!A:D,4,FALSE),""))</x:f>
        <x:v>Cama</x:v>
      </x:c>
      <x:c r="G8" s="23" t="str">
        <x:f>IF(CultivosSembrados!A8="","",CultivosSembrados!D8)</x:f>
        <x:v>CUL_ZANAHORIA</x:v>
      </x:c>
      <x:c r="H8" s="23" t="str">
        <x:f>IF(A8="","",IFERROR(VLOOKUP(G8,CatalogoCultivos!A:B,2,FALSE),""))</x:f>
        <x:v>Zanahoria</x:v>
      </x:c>
      <x:c r="I8" s="23" t="str">
        <x:f>IF(A8="","",IFERROR(VLOOKUP(G8,CatalogoCultivos!A:C,3,FALSE),""))</x:f>
        <x:v>Única</x:v>
      </x:c>
      <x:c r="J8" s="23" t="n">
        <x:f>IF(CultivosSembrados!A8="","",CultivosSembrados!G8)</x:f>
        <x:v>20</x:v>
      </x:c>
      <x:c r="K8" s="23" t="str">
        <x:f>IF(CultivosSembrados!A8="","",CultivosSembrados!H8)</x:f>
        <x:v>Crecimiento</x:v>
      </x:c>
      <x:c r="L8" s="23" t="n">
        <x:f>IF(A8="","",IFERROR(CultivosSembrados!E8,""))</x:f>
        <x:v>46167</x:v>
      </x:c>
      <x:c r="M8" s="23" t="str">
        <x:f>IF(A8="","",IFERROR(CultivosSembrados!F8,""))</x:f>
      </x:c>
      <x:c r="N8" s="23" t="n">
        <x:f>IF(A8="","",IFERROR(CultivosSembrados!I8,""))</x:f>
        <x:v>46167</x:v>
      </x:c>
      <x:c r="O8" s="23" t="n">
        <x:f>IF(A8="","",IFERROR(CultivosSembrados!J8,""))</x:f>
        <x:v>46247</x:v>
      </x:c>
      <x:c r="P8" s="23" t="n">
        <x:f>IF(A8="","",IFERROR(CultivosSembrados!K8,""))</x:f>
        <x:v>46277</x:v>
      </x:c>
      <x:c r="Q8" s="23" t="str">
        <x:f>IF(O8&lt;&gt;"",TEXT(O8,"yyyy-mm"),"")</x:f>
        <x:v>2026-08</x:v>
      </x:c>
      <x:c r="R8" s="23" t="str">
        <x:f>IF(P8&lt;&gt;"",TEXT(P8,"yyyy-mm"),"")</x:f>
        <x:v>2026-09</x:v>
      </x:c>
      <x:c r="S8" s="23" t="n">
        <x:f>IF(O8&lt;&gt;"",O8-TODAY(),"")</x:f>
        <x:v>66</x:v>
      </x:c>
      <x:c r="T8" s="23" t="str">
        <x:f>IF(A8="","",IF(N8="","Falta fecha base",IF(G8="","Falta cultivo",IF(D8="","Falta unidad","OK"))))</x:f>
        <x:v>OK</x:v>
      </x:c>
      <x:c r="U8" s="23" t="str">
        <x:f>IF(CultivosSembrados!A8="","",CultivosSembrados!L8)</x:f>
        <x:v>DEV</x:v>
      </x:c>
      <x:c r="V8" s="23" t="str">
        <x:f>IF(CultivosSembrados!A8="","",CultivosSembrados!M8)</x:f>
        <x:v>Dato de prueba</x:v>
      </x:c>
    </x:row>
    <x:row r="9">
      <x:c r="A9" s="23" t="str">
        <x:f>IF(CultivosSembrados!A9="","",CultivosSembrados!A9)</x:f>
        <x:v>SIE_DEV_008</x:v>
      </x:c>
      <x:c r="B9" s="23" t="str">
        <x:f>IF(CultivosSembrados!A9="","",CultivosSembrados!B9)</x:f>
        <x:v>FIN_FRAILES</x:v>
      </x:c>
      <x:c r="C9" s="23" t="str">
        <x:f>IF(A9="","",IFERROR(VLOOKUP(B9,Fincas!A:B,2,FALSE),""))</x:f>
        <x:v>Frailes</x:v>
      </x:c>
      <x:c r="D9" s="23" t="str">
        <x:f>IF(CultivosSembrados!A9="","",CultivosSembrados!C9)</x:f>
        <x:v>UNI_FRA_CAMA_03</x:v>
      </x:c>
      <x:c r="E9" s="23" t="str">
        <x:f>IF(A9="","",IFERROR(VLOOKUP(D9,Unidades!A:B,2,FALSE),""))</x:f>
        <x:v>Cama Frailes 3</x:v>
      </x:c>
      <x:c r="F9" s="23" t="str">
        <x:f>IF(A9="","",IFERROR(VLOOKUP(D9,Unidades!A:D,4,FALSE),""))</x:f>
        <x:v>Cama</x:v>
      </x:c>
      <x:c r="G9" s="23" t="str">
        <x:f>IF(CultivosSembrados!A9="","",CultivosSembrados!D9)</x:f>
        <x:v>CUL_PEPINO</x:v>
      </x:c>
      <x:c r="H9" s="23" t="str">
        <x:f>IF(A9="","",IFERROR(VLOOKUP(G9,CatalogoCultivos!A:B,2,FALSE),""))</x:f>
        <x:v>Pepino</x:v>
      </x:c>
      <x:c r="I9" s="23" t="str">
        <x:f>IF(A9="","",IFERROR(VLOOKUP(G9,CatalogoCultivos!A:C,3,FALSE),""))</x:f>
        <x:v>Escalonada</x:v>
      </x:c>
      <x:c r="J9" s="23" t="n">
        <x:f>IF(CultivosSembrados!A9="","",CultivosSembrados!G9)</x:f>
        <x:v>4</x:v>
      </x:c>
      <x:c r="K9" s="23" t="str">
        <x:f>IF(CultivosSembrados!A9="","",CultivosSembrados!H9)</x:f>
        <x:v>Floración</x:v>
      </x:c>
      <x:c r="L9" s="23" t="n">
        <x:f>IF(A9="","",IFERROR(CultivosSembrados!E9,""))</x:f>
        <x:v>46162</x:v>
      </x:c>
      <x:c r="M9" s="23" t="n">
        <x:f>IF(A9="","",IFERROR(CultivosSembrados!F9,""))</x:f>
        <x:v>46178</x:v>
      </x:c>
      <x:c r="N9" s="23" t="n">
        <x:f>IF(A9="","",IFERROR(CultivosSembrados!I9,""))</x:f>
        <x:v>46178</x:v>
      </x:c>
      <x:c r="O9" s="23" t="n">
        <x:f>IF(A9="","",IFERROR(CultivosSembrados!J9,""))</x:f>
        <x:v>46223</x:v>
      </x:c>
      <x:c r="P9" s="23" t="n">
        <x:f>IF(A9="","",IFERROR(CultivosSembrados!K9,""))</x:f>
        <x:v>46243</x:v>
      </x:c>
      <x:c r="Q9" s="23" t="str">
        <x:f>IF(O9&lt;&gt;"",TEXT(O9,"yyyy-mm"),"")</x:f>
        <x:v>2026-07</x:v>
      </x:c>
      <x:c r="R9" s="23" t="str">
        <x:f>IF(P9&lt;&gt;"",TEXT(P9,"yyyy-mm"),"")</x:f>
        <x:v>2026-08</x:v>
      </x:c>
      <x:c r="S9" s="23" t="n">
        <x:f>IF(O9&lt;&gt;"",O9-TODAY(),"")</x:f>
        <x:v>42</x:v>
      </x:c>
      <x:c r="T9" s="23" t="str">
        <x:f>IF(A9="","",IF(N9="","Falta fecha base",IF(G9="","Falta cultivo",IF(D9="","Falta unidad","OK"))))</x:f>
        <x:v>OK</x:v>
      </x:c>
      <x:c r="U9" s="23" t="str">
        <x:f>IF(CultivosSembrados!A9="","",CultivosSembrados!L9)</x:f>
        <x:v>DEV</x:v>
      </x:c>
      <x:c r="V9" s="23" t="str">
        <x:f>IF(CultivosSembrados!A9="","",CultivosSembrados!M9)</x:f>
        <x:v>Dato de prueba</x:v>
      </x:c>
    </x:row>
    <x:row r="10">
      <x:c r="A10" s="23" t="str">
        <x:f>IF(CultivosSembrados!A10="","",CultivosSembrados!A10)</x:f>
        <x:v>SIE_DEV_009</x:v>
      </x:c>
      <x:c r="B10" s="23" t="str">
        <x:f>IF(CultivosSembrados!A10="","",CultivosSembrados!B10)</x:f>
        <x:v>FIN_FRAILES</x:v>
      </x:c>
      <x:c r="C10" s="23" t="str">
        <x:f>IF(A10="","",IFERROR(VLOOKUP(B10,Fincas!A:B,2,FALSE),""))</x:f>
        <x:v>Frailes</x:v>
      </x:c>
      <x:c r="D10" s="23" t="str">
        <x:f>IF(CultivosSembrados!A10="","",CultivosSembrados!C10)</x:f>
        <x:v>UNI_FRA_CAMA_04</x:v>
      </x:c>
      <x:c r="E10" s="23" t="str">
        <x:f>IF(A10="","",IFERROR(VLOOKUP(D10,Unidades!A:B,2,FALSE),""))</x:f>
        <x:v>Cama Frailes 4</x:v>
      </x:c>
      <x:c r="F10" s="23" t="str">
        <x:f>IF(A10="","",IFERROR(VLOOKUP(D10,Unidades!A:D,4,FALSE),""))</x:f>
        <x:v>Cama</x:v>
      </x:c>
      <x:c r="G10" s="23" t="str">
        <x:f>IF(CultivosSembrados!A10="","",CultivosSembrados!D10)</x:f>
        <x:v>CUL_VAINICA</x:v>
      </x:c>
      <x:c r="H10" s="23" t="str">
        <x:f>IF(A10="","",IFERROR(VLOOKUP(G10,CatalogoCultivos!A:B,2,FALSE),""))</x:f>
        <x:v>Vainica</x:v>
      </x:c>
      <x:c r="I10" s="23" t="str">
        <x:f>IF(A10="","",IFERROR(VLOOKUP(G10,CatalogoCultivos!A:C,3,FALSE),""))</x:f>
        <x:v>Escalonada</x:v>
      </x:c>
      <x:c r="J10" s="23" t="n">
        <x:f>IF(CultivosSembrados!A10="","",CultivosSembrados!G10)</x:f>
        <x:v>12</x:v>
      </x:c>
      <x:c r="K10" s="23" t="str">
        <x:f>IF(CultivosSembrados!A10="","",CultivosSembrados!H10)</x:f>
        <x:v>Germinación</x:v>
      </x:c>
      <x:c r="L10" s="23" t="n">
        <x:f>IF(A10="","",IFERROR(CultivosSembrados!E10,""))</x:f>
        <x:v>46176</x:v>
      </x:c>
      <x:c r="M10" s="23" t="str">
        <x:f>IF(A10="","",IFERROR(CultivosSembrados!F10,""))</x:f>
      </x:c>
      <x:c r="N10" s="23" t="n">
        <x:f>IF(A10="","",IFERROR(CultivosSembrados!I10,""))</x:f>
        <x:v>46176</x:v>
      </x:c>
      <x:c r="O10" s="23" t="n">
        <x:f>IF(A10="","",IFERROR(CultivosSembrados!J10,""))</x:f>
        <x:v>46231</x:v>
      </x:c>
      <x:c r="P10" s="23" t="n">
        <x:f>IF(A10="","",IFERROR(CultivosSembrados!K10,""))</x:f>
        <x:v>46251</x:v>
      </x:c>
      <x:c r="Q10" s="23" t="str">
        <x:f>IF(O10&lt;&gt;"",TEXT(O10,"yyyy-mm"),"")</x:f>
        <x:v>2026-07</x:v>
      </x:c>
      <x:c r="R10" s="23" t="str">
        <x:f>IF(P10&lt;&gt;"",TEXT(P10,"yyyy-mm"),"")</x:f>
        <x:v>2026-08</x:v>
      </x:c>
      <x:c r="S10" s="23" t="n">
        <x:f>IF(O10&lt;&gt;"",O10-TODAY(),"")</x:f>
        <x:v>50</x:v>
      </x:c>
      <x:c r="T10" s="23" t="str">
        <x:f>IF(A10="","",IF(N10="","Falta fecha base",IF(G10="","Falta cultivo",IF(D10="","Falta unidad","OK"))))</x:f>
        <x:v>OK</x:v>
      </x:c>
      <x:c r="U10" s="23" t="str">
        <x:f>IF(CultivosSembrados!A10="","",CultivosSembrados!L10)</x:f>
        <x:v>DEV</x:v>
      </x:c>
      <x:c r="V10" s="23" t="str">
        <x:f>IF(CultivosSembrados!A10="","",CultivosSembrados!M10)</x:f>
        <x:v>Dato de prueba</x:v>
      </x:c>
    </x:row>
    <x:row r="11">
      <x:c r="A11" s="23" t="str">
        <x:f>IF(CultivosSembrados!A11="","",CultivosSembrados!A11)</x:f>
        <x:v>SIE_DEV_010</x:v>
      </x:c>
      <x:c r="B11" s="23" t="str">
        <x:f>IF(CultivosSembrados!A11="","",CultivosSembrados!B11)</x:f>
        <x:v>FIN_FRAILES</x:v>
      </x:c>
      <x:c r="C11" s="23" t="str">
        <x:f>IF(A11="","",IFERROR(VLOOKUP(B11,Fincas!A:B,2,FALSE),""))</x:f>
        <x:v>Frailes</x:v>
      </x:c>
      <x:c r="D11" s="23" t="str">
        <x:f>IF(CultivosSembrados!A11="","",CultivosSembrados!C11)</x:f>
        <x:v>UNI_FRA_CAMA_05</x:v>
      </x:c>
      <x:c r="E11" s="23" t="str">
        <x:f>IF(A11="","",IFERROR(VLOOKUP(D11,Unidades!A:B,2,FALSE),""))</x:f>
        <x:v>Cama Frailes 5</x:v>
      </x:c>
      <x:c r="F11" s="23" t="str">
        <x:f>IF(A11="","",IFERROR(VLOOKUP(D11,Unidades!A:D,4,FALSE),""))</x:f>
        <x:v>Cama</x:v>
      </x:c>
      <x:c r="G11" s="23" t="str">
        <x:f>IF(CultivosSembrados!A11="","",CultivosSembrados!D11)</x:f>
        <x:v>CUL_LECHUGA</x:v>
      </x:c>
      <x:c r="H11" s="23" t="str">
        <x:f>IF(A11="","",IFERROR(VLOOKUP(G11,CatalogoCultivos!A:B,2,FALSE),""))</x:f>
        <x:v>Lechuga</x:v>
      </x:c>
      <x:c r="I11" s="23" t="str">
        <x:f>IF(A11="","",IFERROR(VLOOKUP(G11,CatalogoCultivos!A:C,3,FALSE),""))</x:f>
        <x:v>Única</x:v>
      </x:c>
      <x:c r="J11" s="23" t="n">
        <x:f>IF(CultivosSembrados!A11="","",CultivosSembrados!G11)</x:f>
        <x:v>8</x:v>
      </x:c>
      <x:c r="K11" s="23" t="str">
        <x:f>IF(CultivosSembrados!A11="","",CultivosSembrados!H11)</x:f>
        <x:v>Recién sembrado</x:v>
      </x:c>
      <x:c r="L11" s="23" t="n">
        <x:f>IF(A11="","",IFERROR(CultivosSembrados!E11,""))</x:f>
        <x:v>46180</x:v>
      </x:c>
      <x:c r="M11" s="23" t="str">
        <x:f>IF(A11="","",IFERROR(CultivosSembrados!F11,""))</x:f>
      </x:c>
      <x:c r="N11" s="23" t="n">
        <x:f>IF(A11="","",IFERROR(CultivosSembrados!I11,""))</x:f>
        <x:v>46180</x:v>
      </x:c>
      <x:c r="O11" s="23" t="n">
        <x:f>IF(A11="","",IFERROR(CultivosSembrados!J11,""))</x:f>
        <x:v>46215</x:v>
      </x:c>
      <x:c r="P11" s="23" t="n">
        <x:f>IF(A11="","",IFERROR(CultivosSembrados!K11,""))</x:f>
        <x:v>46230</x:v>
      </x:c>
      <x:c r="Q11" s="23" t="str">
        <x:f>IF(O11&lt;&gt;"",TEXT(O11,"yyyy-mm"),"")</x:f>
        <x:v>2026-07</x:v>
      </x:c>
      <x:c r="R11" s="23" t="str">
        <x:f>IF(P11&lt;&gt;"",TEXT(P11,"yyyy-mm"),"")</x:f>
        <x:v>2026-07</x:v>
      </x:c>
      <x:c r="S11" s="23" t="n">
        <x:f>IF(O11&lt;&gt;"",O11-TODAY(),"")</x:f>
        <x:v>34</x:v>
      </x:c>
      <x:c r="T11" s="23" t="str">
        <x:f>IF(A11="","",IF(N11="","Falta fecha base",IF(G11="","Falta cultivo",IF(D11="","Falta unidad","OK"))))</x:f>
        <x:v>OK</x:v>
      </x:c>
      <x:c r="U11" s="23" t="str">
        <x:f>IF(CultivosSembrados!A11="","",CultivosSembrados!L11)</x:f>
        <x:v>DEV</x:v>
      </x:c>
      <x:c r="V11" s="23" t="str">
        <x:f>IF(CultivosSembrados!A11="","",CultivosSembrados!M11)</x:f>
        <x:v>Dato de prueba</x:v>
      </x:c>
    </x:row>
    <x:row r="12">
      <x:c r="A12" s="23" t="str">
        <x:f>IF(CultivosSembrados!A12="","",CultivosSembrados!A12)</x:f>
        <x:v>SIE_DEV_011</x:v>
      </x:c>
      <x:c r="B12" s="23" t="str">
        <x:f>IF(CultivosSembrados!A12="","",CultivosSembrados!B12)</x:f>
        <x:v>FIN_FRAILES</x:v>
      </x:c>
      <x:c r="C12" s="23" t="str">
        <x:f>IF(A12="","",IFERROR(VLOOKUP(B12,Fincas!A:B,2,FALSE),""))</x:f>
        <x:v>Frailes</x:v>
      </x:c>
      <x:c r="D12" s="23" t="str">
        <x:f>IF(CultivosSembrados!A12="","",CultivosSembrados!C12)</x:f>
        <x:v>UNI_FRA_CAMA_06</x:v>
      </x:c>
      <x:c r="E12" s="23" t="str">
        <x:f>IF(A12="","",IFERROR(VLOOKUP(D12,Unidades!A:B,2,FALSE),""))</x:f>
        <x:v>Cama Frailes 6</x:v>
      </x:c>
      <x:c r="F12" s="23" t="str">
        <x:f>IF(A12="","",IFERROR(VLOOKUP(D12,Unidades!A:D,4,FALSE),""))</x:f>
        <x:v>Cama</x:v>
      </x:c>
      <x:c r="G12" s="23" t="str">
        <x:f>IF(CultivosSembrados!A12="","",CultivosSembrados!D12)</x:f>
        <x:v>CUL_TOMATE_NORMAL</x:v>
      </x:c>
      <x:c r="H12" s="23" t="str">
        <x:f>IF(A12="","",IFERROR(VLOOKUP(G12,CatalogoCultivos!A:B,2,FALSE),""))</x:f>
        <x:v>Tomate normal</x:v>
      </x:c>
      <x:c r="I12" s="23" t="str">
        <x:f>IF(A12="","",IFERROR(VLOOKUP(G12,CatalogoCultivos!A:C,3,FALSE),""))</x:f>
        <x:v>Escalonada</x:v>
      </x:c>
      <x:c r="J12" s="23" t="n">
        <x:f>IF(CultivosSembrados!A12="","",CultivosSembrados!G12)</x:f>
        <x:v>5</x:v>
      </x:c>
      <x:c r="K12" s="23" t="str">
        <x:f>IF(CultivosSembrados!A12="","",CultivosSembrados!H12)</x:f>
        <x:v>Trasplante</x:v>
      </x:c>
      <x:c r="L12" s="23" t="n">
        <x:f>IF(A12="","",IFERROR(CultivosSembrados!E12,""))</x:f>
        <x:v>46174</x:v>
      </x:c>
      <x:c r="M12" s="23" t="n">
        <x:f>IF(A12="","",IFERROR(CultivosSembrados!F12,""))</x:f>
        <x:v>46183</x:v>
      </x:c>
      <x:c r="N12" s="23" t="n">
        <x:f>IF(A12="","",IFERROR(CultivosSembrados!I12,""))</x:f>
        <x:v>46183</x:v>
      </x:c>
      <x:c r="O12" s="23" t="n">
        <x:f>IF(A12="","",IFERROR(CultivosSembrados!J12,""))</x:f>
        <x:v>46273</x:v>
      </x:c>
      <x:c r="P12" s="23" t="n">
        <x:f>IF(A12="","",IFERROR(CultivosSembrados!K12,""))</x:f>
        <x:v>46303</x:v>
      </x:c>
      <x:c r="Q12" s="23" t="str">
        <x:f>IF(O12&lt;&gt;"",TEXT(O12,"yyyy-mm"),"")</x:f>
        <x:v>2026-09</x:v>
      </x:c>
      <x:c r="R12" s="23" t="str">
        <x:f>IF(P12&lt;&gt;"",TEXT(P12,"yyyy-mm"),"")</x:f>
        <x:v>2026-10</x:v>
      </x:c>
      <x:c r="S12" s="23" t="n">
        <x:f>IF(O12&lt;&gt;"",O12-TODAY(),"")</x:f>
        <x:v>92</x:v>
      </x:c>
      <x:c r="T12" s="23" t="str">
        <x:f>IF(A12="","",IF(N12="","Falta fecha base",IF(G12="","Falta cultivo",IF(D12="","Falta unidad","OK"))))</x:f>
        <x:v>OK</x:v>
      </x:c>
      <x:c r="U12" s="23" t="str">
        <x:f>IF(CultivosSembrados!A12="","",CultivosSembrados!L12)</x:f>
        <x:v>DEV</x:v>
      </x:c>
      <x:c r="V12" s="23" t="str">
        <x:f>IF(CultivosSembrados!A12="","",CultivosSembrados!M12)</x:f>
        <x:v>Ejemplo para consultar Cama 6</x:v>
      </x:c>
    </x:row>
    <x:row r="13">
      <x:c r="A13" s="23" t="str">
        <x:f>IF(CultivosSembrados!A13="","",CultivosSembrados!A13)</x:f>
        <x:v>SIE_DEV_012</x:v>
      </x:c>
      <x:c r="B13" s="23" t="str">
        <x:f>IF(CultivosSembrados!A13="","",CultivosSembrados!B13)</x:f>
        <x:v>FIN_FRAILES</x:v>
      </x:c>
      <x:c r="C13" s="23" t="str">
        <x:f>IF(A13="","",IFERROR(VLOOKUP(B13,Fincas!A:B,2,FALSE),""))</x:f>
        <x:v>Frailes</x:v>
      </x:c>
      <x:c r="D13" s="23" t="str">
        <x:f>IF(CultivosSembrados!A13="","",CultivosSembrados!C13)</x:f>
        <x:v>UNI_FRA_CAMA_06</x:v>
      </x:c>
      <x:c r="E13" s="23" t="str">
        <x:f>IF(A13="","",IFERROR(VLOOKUP(D13,Unidades!A:B,2,FALSE),""))</x:f>
        <x:v>Cama Frailes 6</x:v>
      </x:c>
      <x:c r="F13" s="23" t="str">
        <x:f>IF(A13="","",IFERROR(VLOOKUP(D13,Unidades!A:D,4,FALSE),""))</x:f>
        <x:v>Cama</x:v>
      </x:c>
      <x:c r="G13" s="23" t="str">
        <x:f>IF(CultivosSembrados!A13="","",CultivosSembrados!D13)</x:f>
        <x:v>CUL_LECHUGA</x:v>
      </x:c>
      <x:c r="H13" s="23" t="str">
        <x:f>IF(A13="","",IFERROR(VLOOKUP(G13,CatalogoCultivos!A:B,2,FALSE),""))</x:f>
        <x:v>Lechuga</x:v>
      </x:c>
      <x:c r="I13" s="23" t="str">
        <x:f>IF(A13="","",IFERROR(VLOOKUP(G13,CatalogoCultivos!A:C,3,FALSE),""))</x:f>
        <x:v>Única</x:v>
      </x:c>
      <x:c r="J13" s="23" t="n">
        <x:f>IF(CultivosSembrados!A13="","",CultivosSembrados!G13)</x:f>
        <x:v>6</x:v>
      </x:c>
      <x:c r="K13" s="23" t="str">
        <x:f>IF(CultivosSembrados!A13="","",CultivosSembrados!H13)</x:f>
        <x:v>Crecimiento</x:v>
      </x:c>
      <x:c r="L13" s="23" t="n">
        <x:f>IF(A13="","",IFERROR(CultivosSembrados!E13,""))</x:f>
        <x:v>46183</x:v>
      </x:c>
      <x:c r="M13" s="23" t="str">
        <x:f>IF(A13="","",IFERROR(CultivosSembrados!F13,""))</x:f>
      </x:c>
      <x:c r="N13" s="23" t="n">
        <x:f>IF(A13="","",IFERROR(CultivosSembrados!I13,""))</x:f>
        <x:v>46183</x:v>
      </x:c>
      <x:c r="O13" s="23" t="n">
        <x:f>IF(A13="","",IFERROR(CultivosSembrados!J13,""))</x:f>
        <x:v>46218</x:v>
      </x:c>
      <x:c r="P13" s="23" t="n">
        <x:f>IF(A13="","",IFERROR(CultivosSembrados!K13,""))</x:f>
        <x:v>46233</x:v>
      </x:c>
      <x:c r="Q13" s="23" t="str">
        <x:f>IF(O13&lt;&gt;"",TEXT(O13,"yyyy-mm"),"")</x:f>
        <x:v>2026-07</x:v>
      </x:c>
      <x:c r="R13" s="23" t="str">
        <x:f>IF(P13&lt;&gt;"",TEXT(P13,"yyyy-mm"),"")</x:f>
        <x:v>2026-07</x:v>
      </x:c>
      <x:c r="S13" s="23" t="n">
        <x:f>IF(O13&lt;&gt;"",O13-TODAY(),"")</x:f>
        <x:v>37</x:v>
      </x:c>
      <x:c r="T13" s="23" t="str">
        <x:f>IF(A13="","",IF(N13="","Falta fecha base",IF(G13="","Falta cultivo",IF(D13="","Falta unidad","OK"))))</x:f>
        <x:v>OK</x:v>
      </x:c>
      <x:c r="U13" s="23" t="str">
        <x:f>IF(CultivosSembrados!A13="","",CultivosSembrados!L13)</x:f>
        <x:v>DEV</x:v>
      </x:c>
      <x:c r="V13" s="23" t="str">
        <x:f>IF(CultivosSembrados!A13="","",CultivosSembrados!M13)</x:f>
        <x:v>Ejemplo para consultar Cama 6</x:v>
      </x:c>
    </x:row>
    <x:row r="14">
      <x:c r="A14" s="23" t="str">
        <x:f>IF(CultivosSembrados!A14="","",CultivosSembrados!A14)</x:f>
        <x:v>SIE_DEV_013</x:v>
      </x:c>
      <x:c r="B14" s="23" t="str">
        <x:f>IF(CultivosSembrados!A14="","",CultivosSembrados!B14)</x:f>
        <x:v>FIN_FRAILES</x:v>
      </x:c>
      <x:c r="C14" s="23" t="str">
        <x:f>IF(A14="","",IFERROR(VLOOKUP(B14,Fincas!A:B,2,FALSE),""))</x:f>
        <x:v>Frailes</x:v>
      </x:c>
      <x:c r="D14" s="23" t="str">
        <x:f>IF(CultivosSembrados!A14="","",CultivosSembrados!C14)</x:f>
        <x:v>UNI_FRA_CAMA_07</x:v>
      </x:c>
      <x:c r="E14" s="23" t="str">
        <x:f>IF(A14="","",IFERROR(VLOOKUP(D14,Unidades!A:B,2,FALSE),""))</x:f>
        <x:v>Cama Frailes 7</x:v>
      </x:c>
      <x:c r="F14" s="23" t="str">
        <x:f>IF(A14="","",IFERROR(VLOOKUP(D14,Unidades!A:D,4,FALSE),""))</x:f>
        <x:v>Cama</x:v>
      </x:c>
      <x:c r="G14" s="23" t="str">
        <x:f>IF(CultivosSembrados!A14="","",CultivosSembrados!D14)</x:f>
        <x:v>CUL_CEBOLLA</x:v>
      </x:c>
      <x:c r="H14" s="23" t="str">
        <x:f>IF(A14="","",IFERROR(VLOOKUP(G14,CatalogoCultivos!A:B,2,FALSE),""))</x:f>
        <x:v>Cebolla</x:v>
      </x:c>
      <x:c r="I14" s="23" t="str">
        <x:f>IF(A14="","",IFERROR(VLOOKUP(G14,CatalogoCultivos!A:C,3,FALSE),""))</x:f>
        <x:v>Única</x:v>
      </x:c>
      <x:c r="J14" s="23" t="n">
        <x:f>IF(CultivosSembrados!A14="","",CultivosSembrados!G14)</x:f>
        <x:v>15</x:v>
      </x:c>
      <x:c r="K14" s="23" t="str">
        <x:f>IF(CultivosSembrados!A14="","",CultivosSembrados!H14)</x:f>
        <x:v>Sin fecha</x:v>
      </x:c>
      <x:c r="L14" s="23" t="str">
        <x:f>IF(A14="","",IFERROR(CultivosSembrados!E14,""))</x:f>
      </x:c>
      <x:c r="M14" s="23" t="str">
        <x:f>IF(A14="","",IFERROR(CultivosSembrados!F14,""))</x:f>
      </x:c>
      <x:c r="N14" s="23" t="str">
        <x:f>IF(A14="","",IFERROR(CultivosSembrados!I14,""))</x:f>
      </x:c>
      <x:c r="O14" s="23" t="str">
        <x:f>IF(A14="","",IFERROR(CultivosSembrados!J14,""))</x:f>
      </x:c>
      <x:c r="P14" s="23" t="str">
        <x:f>IF(A14="","",IFERROR(CultivosSembrados!K14,""))</x:f>
      </x:c>
      <x:c r="Q14" s="23" t="str">
        <x:f>IF(O14&lt;&gt;"",TEXT(O14,"yyyy-mm"),"")</x:f>
      </x:c>
      <x:c r="R14" s="23" t="str">
        <x:f>IF(P14&lt;&gt;"",TEXT(P14,"yyyy-mm"),"")</x:f>
      </x:c>
      <x:c r="S14" s="23" t="str">
        <x:f>IF(O14&lt;&gt;"",O14-TODAY(),"")</x:f>
      </x:c>
      <x:c r="T14" s="23" t="str">
        <x:f>IF(A14="","",IF(N14="","Falta fecha base",IF(G14="","Falta cultivo",IF(D14="","Falta unidad","OK"))))</x:f>
        <x:v>Falta fecha base</x:v>
      </x:c>
      <x:c r="U14" s="23" t="str">
        <x:f>IF(CultivosSembrados!A14="","",CultivosSembrados!L14)</x:f>
        <x:v>Incompleta</x:v>
      </x:c>
      <x:c r="V14" s="23" t="str">
        <x:f>IF(CultivosSembrados!A14="","",CultivosSembrados!M14)</x:f>
        <x:v>Error intencional: falta fecha</x:v>
      </x:c>
    </x:row>
    <x:row r="15">
      <x:c r="A15" s="23" t="str">
        <x:f>IF(CultivosSembrados!A15="","",CultivosSembrados!A15)</x:f>
      </x:c>
      <x:c r="B15" s="23" t="str">
        <x:f>IF(CultivosSembrados!A15="","",CultivosSembrados!B15)</x:f>
      </x:c>
      <x:c r="C15" s="23" t="str">
        <x:f>IF(A15="","",IFERROR(VLOOKUP(B15,Fincas!A:B,2,FALSE),""))</x:f>
      </x:c>
      <x:c r="D15" s="23" t="str">
        <x:f>IF(CultivosSembrados!A15="","",CultivosSembrados!C15)</x:f>
      </x:c>
      <x:c r="E15" s="23" t="str">
        <x:f>IF(A15="","",IFERROR(VLOOKUP(D15,Unidades!A:B,2,FALSE),""))</x:f>
      </x:c>
      <x:c r="F15" s="23" t="str">
        <x:f>IF(A15="","",IFERROR(VLOOKUP(D15,Unidades!A:D,4,FALSE),""))</x:f>
      </x:c>
      <x:c r="G15" s="23" t="str">
        <x:f>IF(CultivosSembrados!A15="","",CultivosSembrados!D15)</x:f>
      </x:c>
      <x:c r="H15" s="23" t="str">
        <x:f>IF(A15="","",IFERROR(VLOOKUP(G15,CatalogoCultivos!A:B,2,FALSE),""))</x:f>
      </x:c>
      <x:c r="I15" s="23" t="str">
        <x:f>IF(A15="","",IFERROR(VLOOKUP(G15,CatalogoCultivos!A:C,3,FALSE),""))</x:f>
      </x:c>
      <x:c r="J15" s="23" t="str">
        <x:f>IF(CultivosSembrados!A15="","",CultivosSembrados!G15)</x:f>
      </x:c>
      <x:c r="K15" s="23" t="str">
        <x:f>IF(CultivosSembrados!A15="","",CultivosSembrados!H15)</x:f>
      </x:c>
      <x:c r="L15" s="23" t="str">
        <x:f>IF(A15="","",IFERROR(CultivosSembrados!E15,""))</x:f>
      </x:c>
      <x:c r="M15" s="23" t="str">
        <x:f>IF(A15="","",IFERROR(CultivosSembrados!F15,""))</x:f>
      </x:c>
      <x:c r="N15" s="23" t="str">
        <x:f>IF(A15="","",IFERROR(CultivosSembrados!I15,""))</x:f>
      </x:c>
      <x:c r="O15" s="23" t="str">
        <x:f>IF(A15="","",IFERROR(CultivosSembrados!J15,""))</x:f>
      </x:c>
      <x:c r="P15" s="23" t="str">
        <x:f>IF(A15="","",IFERROR(CultivosSembrados!K15,""))</x:f>
      </x:c>
      <x:c r="Q15" s="23" t="str">
        <x:f>IF(O15&lt;&gt;"",TEXT(O15,"yyyy-mm"),"")</x:f>
      </x:c>
      <x:c r="R15" s="23" t="str">
        <x:f>IF(P15&lt;&gt;"",TEXT(P15,"yyyy-mm"),"")</x:f>
      </x:c>
      <x:c r="S15" s="23" t="str">
        <x:f>IF(O15&lt;&gt;"",O15-TODAY(),"")</x:f>
      </x:c>
      <x:c r="T15" s="23" t="str">
        <x:f>IF(A15="","",IF(N15="","Falta fecha base",IF(G15="","Falta cultivo",IF(D15="","Falta unidad","OK"))))</x:f>
      </x:c>
      <x:c r="U15" s="23" t="str">
        <x:f>IF(CultivosSembrados!A15="","",CultivosSembrados!L15)</x:f>
      </x:c>
      <x:c r="V15" s="23" t="str">
        <x:f>IF(CultivosSembrados!A15="","",CultivosSembrados!M15)</x:f>
      </x:c>
    </x:row>
    <x:row r="16">
      <x:c r="A16" s="23" t="str">
        <x:f>IF(CultivosSembrados!A16="","",CultivosSembrados!A16)</x:f>
      </x:c>
      <x:c r="B16" s="23" t="str">
        <x:f>IF(CultivosSembrados!A16="","",CultivosSembrados!B16)</x:f>
      </x:c>
      <x:c r="C16" s="23" t="str">
        <x:f>IF(A16="","",IFERROR(VLOOKUP(B16,Fincas!A:B,2,FALSE),""))</x:f>
      </x:c>
      <x:c r="D16" s="23" t="str">
        <x:f>IF(CultivosSembrados!A16="","",CultivosSembrados!C16)</x:f>
      </x:c>
      <x:c r="E16" s="23" t="str">
        <x:f>IF(A16="","",IFERROR(VLOOKUP(D16,Unidades!A:B,2,FALSE),""))</x:f>
      </x:c>
      <x:c r="F16" s="23" t="str">
        <x:f>IF(A16="","",IFERROR(VLOOKUP(D16,Unidades!A:D,4,FALSE),""))</x:f>
      </x:c>
      <x:c r="G16" s="23" t="str">
        <x:f>IF(CultivosSembrados!A16="","",CultivosSembrados!D16)</x:f>
      </x:c>
      <x:c r="H16" s="23" t="str">
        <x:f>IF(A16="","",IFERROR(VLOOKUP(G16,CatalogoCultivos!A:B,2,FALSE),""))</x:f>
      </x:c>
      <x:c r="I16" s="23" t="str">
        <x:f>IF(A16="","",IFERROR(VLOOKUP(G16,CatalogoCultivos!A:C,3,FALSE),""))</x:f>
      </x:c>
      <x:c r="J16" s="23" t="str">
        <x:f>IF(CultivosSembrados!A16="","",CultivosSembrados!G16)</x:f>
      </x:c>
      <x:c r="K16" s="23" t="str">
        <x:f>IF(CultivosSembrados!A16="","",CultivosSembrados!H16)</x:f>
      </x:c>
      <x:c r="L16" s="23" t="str">
        <x:f>IF(A16="","",IFERROR(CultivosSembrados!E16,""))</x:f>
      </x:c>
      <x:c r="M16" s="23" t="str">
        <x:f>IF(A16="","",IFERROR(CultivosSembrados!F16,""))</x:f>
      </x:c>
      <x:c r="N16" s="23" t="str">
        <x:f>IF(A16="","",IFERROR(CultivosSembrados!I16,""))</x:f>
      </x:c>
      <x:c r="O16" s="23" t="str">
        <x:f>IF(A16="","",IFERROR(CultivosSembrados!J16,""))</x:f>
      </x:c>
      <x:c r="P16" s="23" t="str">
        <x:f>IF(A16="","",IFERROR(CultivosSembrados!K16,""))</x:f>
      </x:c>
      <x:c r="Q16" s="23" t="str">
        <x:f>IF(O16&lt;&gt;"",TEXT(O16,"yyyy-mm"),"")</x:f>
      </x:c>
      <x:c r="R16" s="23" t="str">
        <x:f>IF(P16&lt;&gt;"",TEXT(P16,"yyyy-mm"),"")</x:f>
      </x:c>
      <x:c r="S16" s="23" t="str">
        <x:f>IF(O16&lt;&gt;"",O16-TODAY(),"")</x:f>
      </x:c>
      <x:c r="T16" s="23" t="str">
        <x:f>IF(A16="","",IF(N16="","Falta fecha base",IF(G16="","Falta cultivo",IF(D16="","Falta unidad","OK"))))</x:f>
      </x:c>
      <x:c r="U16" s="23" t="str">
        <x:f>IF(CultivosSembrados!A16="","",CultivosSembrados!L16)</x:f>
      </x:c>
      <x:c r="V16" s="23" t="str">
        <x:f>IF(CultivosSembrados!A16="","",CultivosSembrados!M16)</x:f>
      </x:c>
    </x:row>
    <x:row r="17">
      <x:c r="A17" s="23" t="str">
        <x:f>IF(CultivosSembrados!A17="","",CultivosSembrados!A17)</x:f>
      </x:c>
      <x:c r="B17" s="23" t="str">
        <x:f>IF(CultivosSembrados!A17="","",CultivosSembrados!B17)</x:f>
      </x:c>
      <x:c r="C17" s="23" t="str">
        <x:f>IF(A17="","",IFERROR(VLOOKUP(B17,Fincas!A:B,2,FALSE),""))</x:f>
      </x:c>
      <x:c r="D17" s="23" t="str">
        <x:f>IF(CultivosSembrados!A17="","",CultivosSembrados!C17)</x:f>
      </x:c>
      <x:c r="E17" s="23" t="str">
        <x:f>IF(A17="","",IFERROR(VLOOKUP(D17,Unidades!A:B,2,FALSE),""))</x:f>
      </x:c>
      <x:c r="F17" s="23" t="str">
        <x:f>IF(A17="","",IFERROR(VLOOKUP(D17,Unidades!A:D,4,FALSE),""))</x:f>
      </x:c>
      <x:c r="G17" s="23" t="str">
        <x:f>IF(CultivosSembrados!A17="","",CultivosSembrados!D17)</x:f>
      </x:c>
      <x:c r="H17" s="23" t="str">
        <x:f>IF(A17="","",IFERROR(VLOOKUP(G17,CatalogoCultivos!A:B,2,FALSE),""))</x:f>
      </x:c>
      <x:c r="I17" s="23" t="str">
        <x:f>IF(A17="","",IFERROR(VLOOKUP(G17,CatalogoCultivos!A:C,3,FALSE),""))</x:f>
      </x:c>
      <x:c r="J17" s="23" t="str">
        <x:f>IF(CultivosSembrados!A17="","",CultivosSembrados!G17)</x:f>
      </x:c>
      <x:c r="K17" s="23" t="str">
        <x:f>IF(CultivosSembrados!A17="","",CultivosSembrados!H17)</x:f>
      </x:c>
      <x:c r="L17" s="23" t="str">
        <x:f>IF(A17="","",IFERROR(CultivosSembrados!E17,""))</x:f>
      </x:c>
      <x:c r="M17" s="23" t="str">
        <x:f>IF(A17="","",IFERROR(CultivosSembrados!F17,""))</x:f>
      </x:c>
      <x:c r="N17" s="23" t="str">
        <x:f>IF(A17="","",IFERROR(CultivosSembrados!I17,""))</x:f>
      </x:c>
      <x:c r="O17" s="23" t="str">
        <x:f>IF(A17="","",IFERROR(CultivosSembrados!J17,""))</x:f>
      </x:c>
      <x:c r="P17" s="23" t="str">
        <x:f>IF(A17="","",IFERROR(CultivosSembrados!K17,""))</x:f>
      </x:c>
      <x:c r="Q17" s="23" t="str">
        <x:f>IF(O17&lt;&gt;"",TEXT(O17,"yyyy-mm"),"")</x:f>
      </x:c>
      <x:c r="R17" s="23" t="str">
        <x:f>IF(P17&lt;&gt;"",TEXT(P17,"yyyy-mm"),"")</x:f>
      </x:c>
      <x:c r="S17" s="23" t="str">
        <x:f>IF(O17&lt;&gt;"",O17-TODAY(),"")</x:f>
      </x:c>
      <x:c r="T17" s="23" t="str">
        <x:f>IF(A17="","",IF(N17="","Falta fecha base",IF(G17="","Falta cultivo",IF(D17="","Falta unidad","OK"))))</x:f>
      </x:c>
      <x:c r="U17" s="23" t="str">
        <x:f>IF(CultivosSembrados!A17="","",CultivosSembrados!L17)</x:f>
      </x:c>
      <x:c r="V17" s="23" t="str">
        <x:f>IF(CultivosSembrados!A17="","",CultivosSembrados!M17)</x:f>
      </x:c>
    </x:row>
    <x:row r="18">
      <x:c r="A18" s="23" t="str">
        <x:f>IF(CultivosSembrados!A18="","",CultivosSembrados!A18)</x:f>
      </x:c>
      <x:c r="B18" s="23" t="str">
        <x:f>IF(CultivosSembrados!A18="","",CultivosSembrados!B18)</x:f>
      </x:c>
      <x:c r="C18" s="23" t="str">
        <x:f>IF(A18="","",IFERROR(VLOOKUP(B18,Fincas!A:B,2,FALSE),""))</x:f>
      </x:c>
      <x:c r="D18" s="23" t="str">
        <x:f>IF(CultivosSembrados!A18="","",CultivosSembrados!C18)</x:f>
      </x:c>
      <x:c r="E18" s="23" t="str">
        <x:f>IF(A18="","",IFERROR(VLOOKUP(D18,Unidades!A:B,2,FALSE),""))</x:f>
      </x:c>
      <x:c r="F18" s="23" t="str">
        <x:f>IF(A18="","",IFERROR(VLOOKUP(D18,Unidades!A:D,4,FALSE),""))</x:f>
      </x:c>
      <x:c r="G18" s="23" t="str">
        <x:f>IF(CultivosSembrados!A18="","",CultivosSembrados!D18)</x:f>
      </x:c>
      <x:c r="H18" s="23" t="str">
        <x:f>IF(A18="","",IFERROR(VLOOKUP(G18,CatalogoCultivos!A:B,2,FALSE),""))</x:f>
      </x:c>
      <x:c r="I18" s="23" t="str">
        <x:f>IF(A18="","",IFERROR(VLOOKUP(G18,CatalogoCultivos!A:C,3,FALSE),""))</x:f>
      </x:c>
      <x:c r="J18" s="23" t="str">
        <x:f>IF(CultivosSembrados!A18="","",CultivosSembrados!G18)</x:f>
      </x:c>
      <x:c r="K18" s="23" t="str">
        <x:f>IF(CultivosSembrados!A18="","",CultivosSembrados!H18)</x:f>
      </x:c>
      <x:c r="L18" s="23" t="str">
        <x:f>IF(A18="","",IFERROR(CultivosSembrados!E18,""))</x:f>
      </x:c>
      <x:c r="M18" s="23" t="str">
        <x:f>IF(A18="","",IFERROR(CultivosSembrados!F18,""))</x:f>
      </x:c>
      <x:c r="N18" s="23" t="str">
        <x:f>IF(A18="","",IFERROR(CultivosSembrados!I18,""))</x:f>
      </x:c>
      <x:c r="O18" s="23" t="str">
        <x:f>IF(A18="","",IFERROR(CultivosSembrados!J18,""))</x:f>
      </x:c>
      <x:c r="P18" s="23" t="str">
        <x:f>IF(A18="","",IFERROR(CultivosSembrados!K18,""))</x:f>
      </x:c>
      <x:c r="Q18" s="23" t="str">
        <x:f>IF(O18&lt;&gt;"",TEXT(O18,"yyyy-mm"),"")</x:f>
      </x:c>
      <x:c r="R18" s="23" t="str">
        <x:f>IF(P18&lt;&gt;"",TEXT(P18,"yyyy-mm"),"")</x:f>
      </x:c>
      <x:c r="S18" s="23" t="str">
        <x:f>IF(O18&lt;&gt;"",O18-TODAY(),"")</x:f>
      </x:c>
      <x:c r="T18" s="23" t="str">
        <x:f>IF(A18="","",IF(N18="","Falta fecha base",IF(G18="","Falta cultivo",IF(D18="","Falta unidad","OK"))))</x:f>
      </x:c>
      <x:c r="U18" s="23" t="str">
        <x:f>IF(CultivosSembrados!A18="","",CultivosSembrados!L18)</x:f>
      </x:c>
      <x:c r="V18" s="23" t="str">
        <x:f>IF(CultivosSembrados!A18="","",CultivosSembrados!M18)</x:f>
      </x:c>
    </x:row>
    <x:row r="19">
      <x:c r="A19" s="23" t="str">
        <x:f>IF(CultivosSembrados!A19="","",CultivosSembrados!A19)</x:f>
      </x:c>
      <x:c r="B19" s="23" t="str">
        <x:f>IF(CultivosSembrados!A19="","",CultivosSembrados!B19)</x:f>
      </x:c>
      <x:c r="C19" s="23" t="str">
        <x:f>IF(A19="","",IFERROR(VLOOKUP(B19,Fincas!A:B,2,FALSE),""))</x:f>
      </x:c>
      <x:c r="D19" s="23" t="str">
        <x:f>IF(CultivosSembrados!A19="","",CultivosSembrados!C19)</x:f>
      </x:c>
      <x:c r="E19" s="23" t="str">
        <x:f>IF(A19="","",IFERROR(VLOOKUP(D19,Unidades!A:B,2,FALSE),""))</x:f>
      </x:c>
      <x:c r="F19" s="23" t="str">
        <x:f>IF(A19="","",IFERROR(VLOOKUP(D19,Unidades!A:D,4,FALSE),""))</x:f>
      </x:c>
      <x:c r="G19" s="23" t="str">
        <x:f>IF(CultivosSembrados!A19="","",CultivosSembrados!D19)</x:f>
      </x:c>
      <x:c r="H19" s="23" t="str">
        <x:f>IF(A19="","",IFERROR(VLOOKUP(G19,CatalogoCultivos!A:B,2,FALSE),""))</x:f>
      </x:c>
      <x:c r="I19" s="23" t="str">
        <x:f>IF(A19="","",IFERROR(VLOOKUP(G19,CatalogoCultivos!A:C,3,FALSE),""))</x:f>
      </x:c>
      <x:c r="J19" s="23" t="str">
        <x:f>IF(CultivosSembrados!A19="","",CultivosSembrados!G19)</x:f>
      </x:c>
      <x:c r="K19" s="23" t="str">
        <x:f>IF(CultivosSembrados!A19="","",CultivosSembrados!H19)</x:f>
      </x:c>
      <x:c r="L19" s="23" t="str">
        <x:f>IF(A19="","",IFERROR(CultivosSembrados!E19,""))</x:f>
      </x:c>
      <x:c r="M19" s="23" t="str">
        <x:f>IF(A19="","",IFERROR(CultivosSembrados!F19,""))</x:f>
      </x:c>
      <x:c r="N19" s="23" t="str">
        <x:f>IF(A19="","",IFERROR(CultivosSembrados!I19,""))</x:f>
      </x:c>
      <x:c r="O19" s="23" t="str">
        <x:f>IF(A19="","",IFERROR(CultivosSembrados!J19,""))</x:f>
      </x:c>
      <x:c r="P19" s="23" t="str">
        <x:f>IF(A19="","",IFERROR(CultivosSembrados!K19,""))</x:f>
      </x:c>
      <x:c r="Q19" s="23" t="str">
        <x:f>IF(O19&lt;&gt;"",TEXT(O19,"yyyy-mm"),"")</x:f>
      </x:c>
      <x:c r="R19" s="23" t="str">
        <x:f>IF(P19&lt;&gt;"",TEXT(P19,"yyyy-mm"),"")</x:f>
      </x:c>
      <x:c r="S19" s="23" t="str">
        <x:f>IF(O19&lt;&gt;"",O19-TODAY(),"")</x:f>
      </x:c>
      <x:c r="T19" s="23" t="str">
        <x:f>IF(A19="","",IF(N19="","Falta fecha base",IF(G19="","Falta cultivo",IF(D19="","Falta unidad","OK"))))</x:f>
      </x:c>
      <x:c r="U19" s="23" t="str">
        <x:f>IF(CultivosSembrados!A19="","",CultivosSembrados!L19)</x:f>
      </x:c>
      <x:c r="V19" s="23" t="str">
        <x:f>IF(CultivosSembrados!A19="","",CultivosSembrados!M19)</x:f>
      </x:c>
    </x:row>
    <x:row r="20">
      <x:c r="A20" s="23" t="str">
        <x:f>IF(CultivosSembrados!A20="","",CultivosSembrados!A20)</x:f>
      </x:c>
      <x:c r="B20" s="23" t="str">
        <x:f>IF(CultivosSembrados!A20="","",CultivosSembrados!B20)</x:f>
      </x:c>
      <x:c r="C20" s="23" t="str">
        <x:f>IF(A20="","",IFERROR(VLOOKUP(B20,Fincas!A:B,2,FALSE),""))</x:f>
      </x:c>
      <x:c r="D20" s="23" t="str">
        <x:f>IF(CultivosSembrados!A20="","",CultivosSembrados!C20)</x:f>
      </x:c>
      <x:c r="E20" s="23" t="str">
        <x:f>IF(A20="","",IFERROR(VLOOKUP(D20,Unidades!A:B,2,FALSE),""))</x:f>
      </x:c>
      <x:c r="F20" s="23" t="str">
        <x:f>IF(A20="","",IFERROR(VLOOKUP(D20,Unidades!A:D,4,FALSE),""))</x:f>
      </x:c>
      <x:c r="G20" s="23" t="str">
        <x:f>IF(CultivosSembrados!A20="","",CultivosSembrados!D20)</x:f>
      </x:c>
      <x:c r="H20" s="23" t="str">
        <x:f>IF(A20="","",IFERROR(VLOOKUP(G20,CatalogoCultivos!A:B,2,FALSE),""))</x:f>
      </x:c>
      <x:c r="I20" s="23" t="str">
        <x:f>IF(A20="","",IFERROR(VLOOKUP(G20,CatalogoCultivos!A:C,3,FALSE),""))</x:f>
      </x:c>
      <x:c r="J20" s="23" t="str">
        <x:f>IF(CultivosSembrados!A20="","",CultivosSembrados!G20)</x:f>
      </x:c>
      <x:c r="K20" s="23" t="str">
        <x:f>IF(CultivosSembrados!A20="","",CultivosSembrados!H20)</x:f>
      </x:c>
      <x:c r="L20" s="23" t="str">
        <x:f>IF(A20="","",IFERROR(CultivosSembrados!E20,""))</x:f>
      </x:c>
      <x:c r="M20" s="23" t="str">
        <x:f>IF(A20="","",IFERROR(CultivosSembrados!F20,""))</x:f>
      </x:c>
      <x:c r="N20" s="23" t="str">
        <x:f>IF(A20="","",IFERROR(CultivosSembrados!I20,""))</x:f>
      </x:c>
      <x:c r="O20" s="23" t="str">
        <x:f>IF(A20="","",IFERROR(CultivosSembrados!J20,""))</x:f>
      </x:c>
      <x:c r="P20" s="23" t="str">
        <x:f>IF(A20="","",IFERROR(CultivosSembrados!K20,""))</x:f>
      </x:c>
      <x:c r="Q20" s="23" t="str">
        <x:f>IF(O20&lt;&gt;"",TEXT(O20,"yyyy-mm"),"")</x:f>
      </x:c>
      <x:c r="R20" s="23" t="str">
        <x:f>IF(P20&lt;&gt;"",TEXT(P20,"yyyy-mm"),"")</x:f>
      </x:c>
      <x:c r="S20" s="23" t="str">
        <x:f>IF(O20&lt;&gt;"",O20-TODAY(),"")</x:f>
      </x:c>
      <x:c r="T20" s="23" t="str">
        <x:f>IF(A20="","",IF(N20="","Falta fecha base",IF(G20="","Falta cultivo",IF(D20="","Falta unidad","OK"))))</x:f>
      </x:c>
      <x:c r="U20" s="23" t="str">
        <x:f>IF(CultivosSembrados!A20="","",CultivosSembrados!L20)</x:f>
      </x:c>
      <x:c r="V20" s="23" t="str">
        <x:f>IF(CultivosSembrados!A20="","",CultivosSembrados!M20)</x:f>
      </x:c>
    </x:row>
    <x:row r="21">
      <x:c r="A21" s="23" t="str">
        <x:f>IF(CultivosSembrados!A21="","",CultivosSembrados!A21)</x:f>
      </x:c>
      <x:c r="B21" s="23" t="str">
        <x:f>IF(CultivosSembrados!A21="","",CultivosSembrados!B21)</x:f>
      </x:c>
      <x:c r="C21" s="23" t="str">
        <x:f>IF(A21="","",IFERROR(VLOOKUP(B21,Fincas!A:B,2,FALSE),""))</x:f>
      </x:c>
      <x:c r="D21" s="23" t="str">
        <x:f>IF(CultivosSembrados!A21="","",CultivosSembrados!C21)</x:f>
      </x:c>
      <x:c r="E21" s="23" t="str">
        <x:f>IF(A21="","",IFERROR(VLOOKUP(D21,Unidades!A:B,2,FALSE),""))</x:f>
      </x:c>
      <x:c r="F21" s="23" t="str">
        <x:f>IF(A21="","",IFERROR(VLOOKUP(D21,Unidades!A:D,4,FALSE),""))</x:f>
      </x:c>
      <x:c r="G21" s="23" t="str">
        <x:f>IF(CultivosSembrados!A21="","",CultivosSembrados!D21)</x:f>
      </x:c>
      <x:c r="H21" s="23" t="str">
        <x:f>IF(A21="","",IFERROR(VLOOKUP(G21,CatalogoCultivos!A:B,2,FALSE),""))</x:f>
      </x:c>
      <x:c r="I21" s="23" t="str">
        <x:f>IF(A21="","",IFERROR(VLOOKUP(G21,CatalogoCultivos!A:C,3,FALSE),""))</x:f>
      </x:c>
      <x:c r="J21" s="23" t="str">
        <x:f>IF(CultivosSembrados!A21="","",CultivosSembrados!G21)</x:f>
      </x:c>
      <x:c r="K21" s="23" t="str">
        <x:f>IF(CultivosSembrados!A21="","",CultivosSembrados!H21)</x:f>
      </x:c>
      <x:c r="L21" s="23" t="str">
        <x:f>IF(A21="","",IFERROR(CultivosSembrados!E21,""))</x:f>
      </x:c>
      <x:c r="M21" s="23" t="str">
        <x:f>IF(A21="","",IFERROR(CultivosSembrados!F21,""))</x:f>
      </x:c>
      <x:c r="N21" s="23" t="str">
        <x:f>IF(A21="","",IFERROR(CultivosSembrados!I21,""))</x:f>
      </x:c>
      <x:c r="O21" s="23" t="str">
        <x:f>IF(A21="","",IFERROR(CultivosSembrados!J21,""))</x:f>
      </x:c>
      <x:c r="P21" s="23" t="str">
        <x:f>IF(A21="","",IFERROR(CultivosSembrados!K21,""))</x:f>
      </x:c>
      <x:c r="Q21" s="23" t="str">
        <x:f>IF(O21&lt;&gt;"",TEXT(O21,"yyyy-mm"),"")</x:f>
      </x:c>
      <x:c r="R21" s="23" t="str">
        <x:f>IF(P21&lt;&gt;"",TEXT(P21,"yyyy-mm"),"")</x:f>
      </x:c>
      <x:c r="S21" s="23" t="str">
        <x:f>IF(O21&lt;&gt;"",O21-TODAY(),"")</x:f>
      </x:c>
      <x:c r="T21" s="23" t="str">
        <x:f>IF(A21="","",IF(N21="","Falta fecha base",IF(G21="","Falta cultivo",IF(D21="","Falta unidad","OK"))))</x:f>
      </x:c>
      <x:c r="U21" s="23" t="str">
        <x:f>IF(CultivosSembrados!A21="","",CultivosSembrados!L21)</x:f>
      </x:c>
      <x:c r="V21" s="23" t="str">
        <x:f>IF(CultivosSembrados!A21="","",CultivosSembrados!M21)</x:f>
      </x:c>
    </x:row>
    <x:row r="22">
      <x:c r="A22" s="23" t="str">
        <x:f>IF(CultivosSembrados!A22="","",CultivosSembrados!A22)</x:f>
      </x:c>
      <x:c r="B22" s="23" t="str">
        <x:f>IF(CultivosSembrados!A22="","",CultivosSembrados!B22)</x:f>
      </x:c>
      <x:c r="C22" s="23" t="str">
        <x:f>IF(A22="","",IFERROR(VLOOKUP(B22,Fincas!A:B,2,FALSE),""))</x:f>
      </x:c>
      <x:c r="D22" s="23" t="str">
        <x:f>IF(CultivosSembrados!A22="","",CultivosSembrados!C22)</x:f>
      </x:c>
      <x:c r="E22" s="23" t="str">
        <x:f>IF(A22="","",IFERROR(VLOOKUP(D22,Unidades!A:B,2,FALSE),""))</x:f>
      </x:c>
      <x:c r="F22" s="23" t="str">
        <x:f>IF(A22="","",IFERROR(VLOOKUP(D22,Unidades!A:D,4,FALSE),""))</x:f>
      </x:c>
      <x:c r="G22" s="23" t="str">
        <x:f>IF(CultivosSembrados!A22="","",CultivosSembrados!D22)</x:f>
      </x:c>
      <x:c r="H22" s="23" t="str">
        <x:f>IF(A22="","",IFERROR(VLOOKUP(G22,CatalogoCultivos!A:B,2,FALSE),""))</x:f>
      </x:c>
      <x:c r="I22" s="23" t="str">
        <x:f>IF(A22="","",IFERROR(VLOOKUP(G22,CatalogoCultivos!A:C,3,FALSE),""))</x:f>
      </x:c>
      <x:c r="J22" s="23" t="str">
        <x:f>IF(CultivosSembrados!A22="","",CultivosSembrados!G22)</x:f>
      </x:c>
      <x:c r="K22" s="23" t="str">
        <x:f>IF(CultivosSembrados!A22="","",CultivosSembrados!H22)</x:f>
      </x:c>
      <x:c r="L22" s="23" t="str">
        <x:f>IF(A22="","",IFERROR(CultivosSembrados!E22,""))</x:f>
      </x:c>
      <x:c r="M22" s="23" t="str">
        <x:f>IF(A22="","",IFERROR(CultivosSembrados!F22,""))</x:f>
      </x:c>
      <x:c r="N22" s="23" t="str">
        <x:f>IF(A22="","",IFERROR(CultivosSembrados!I22,""))</x:f>
      </x:c>
      <x:c r="O22" s="23" t="str">
        <x:f>IF(A22="","",IFERROR(CultivosSembrados!J22,""))</x:f>
      </x:c>
      <x:c r="P22" s="23" t="str">
        <x:f>IF(A22="","",IFERROR(CultivosSembrados!K22,""))</x:f>
      </x:c>
      <x:c r="Q22" s="23" t="str">
        <x:f>IF(O22&lt;&gt;"",TEXT(O22,"yyyy-mm"),"")</x:f>
      </x:c>
      <x:c r="R22" s="23" t="str">
        <x:f>IF(P22&lt;&gt;"",TEXT(P22,"yyyy-mm"),"")</x:f>
      </x:c>
      <x:c r="S22" s="23" t="str">
        <x:f>IF(O22&lt;&gt;"",O22-TODAY(),"")</x:f>
      </x:c>
      <x:c r="T22" s="23" t="str">
        <x:f>IF(A22="","",IF(N22="","Falta fecha base",IF(G22="","Falta cultivo",IF(D22="","Falta unidad","OK"))))</x:f>
      </x:c>
      <x:c r="U22" s="23" t="str">
        <x:f>IF(CultivosSembrados!A22="","",CultivosSembrados!L22)</x:f>
      </x:c>
      <x:c r="V22" s="23" t="str">
        <x:f>IF(CultivosSembrados!A22="","",CultivosSembrados!M22)</x:f>
      </x:c>
    </x:row>
    <x:row r="23">
      <x:c r="A23" s="23" t="str">
        <x:f>IF(CultivosSembrados!A23="","",CultivosSembrados!A23)</x:f>
      </x:c>
      <x:c r="B23" s="23" t="str">
        <x:f>IF(CultivosSembrados!A23="","",CultivosSembrados!B23)</x:f>
      </x:c>
      <x:c r="C23" s="23" t="str">
        <x:f>IF(A23="","",IFERROR(VLOOKUP(B23,Fincas!A:B,2,FALSE),""))</x:f>
      </x:c>
      <x:c r="D23" s="23" t="str">
        <x:f>IF(CultivosSembrados!A23="","",CultivosSembrados!C23)</x:f>
      </x:c>
      <x:c r="E23" s="23" t="str">
        <x:f>IF(A23="","",IFERROR(VLOOKUP(D23,Unidades!A:B,2,FALSE),""))</x:f>
      </x:c>
      <x:c r="F23" s="23" t="str">
        <x:f>IF(A23="","",IFERROR(VLOOKUP(D23,Unidades!A:D,4,FALSE),""))</x:f>
      </x:c>
      <x:c r="G23" s="23" t="str">
        <x:f>IF(CultivosSembrados!A23="","",CultivosSembrados!D23)</x:f>
      </x:c>
      <x:c r="H23" s="23" t="str">
        <x:f>IF(A23="","",IFERROR(VLOOKUP(G23,CatalogoCultivos!A:B,2,FALSE),""))</x:f>
      </x:c>
      <x:c r="I23" s="23" t="str">
        <x:f>IF(A23="","",IFERROR(VLOOKUP(G23,CatalogoCultivos!A:C,3,FALSE),""))</x:f>
      </x:c>
      <x:c r="J23" s="23" t="str">
        <x:f>IF(CultivosSembrados!A23="","",CultivosSembrados!G23)</x:f>
      </x:c>
      <x:c r="K23" s="23" t="str">
        <x:f>IF(CultivosSembrados!A23="","",CultivosSembrados!H23)</x:f>
      </x:c>
      <x:c r="L23" s="23" t="str">
        <x:f>IF(A23="","",IFERROR(CultivosSembrados!E23,""))</x:f>
      </x:c>
      <x:c r="M23" s="23" t="str">
        <x:f>IF(A23="","",IFERROR(CultivosSembrados!F23,""))</x:f>
      </x:c>
      <x:c r="N23" s="23" t="str">
        <x:f>IF(A23="","",IFERROR(CultivosSembrados!I23,""))</x:f>
      </x:c>
      <x:c r="O23" s="23" t="str">
        <x:f>IF(A23="","",IFERROR(CultivosSembrados!J23,""))</x:f>
      </x:c>
      <x:c r="P23" s="23" t="str">
        <x:f>IF(A23="","",IFERROR(CultivosSembrados!K23,""))</x:f>
      </x:c>
      <x:c r="Q23" s="23" t="str">
        <x:f>IF(O23&lt;&gt;"",TEXT(O23,"yyyy-mm"),"")</x:f>
      </x:c>
      <x:c r="R23" s="23" t="str">
        <x:f>IF(P23&lt;&gt;"",TEXT(P23,"yyyy-mm"),"")</x:f>
      </x:c>
      <x:c r="S23" s="23" t="str">
        <x:f>IF(O23&lt;&gt;"",O23-TODAY(),"")</x:f>
      </x:c>
      <x:c r="T23" s="23" t="str">
        <x:f>IF(A23="","",IF(N23="","Falta fecha base",IF(G23="","Falta cultivo",IF(D23="","Falta unidad","OK"))))</x:f>
      </x:c>
      <x:c r="U23" s="23" t="str">
        <x:f>IF(CultivosSembrados!A23="","",CultivosSembrados!L23)</x:f>
      </x:c>
      <x:c r="V23" s="23" t="str">
        <x:f>IF(CultivosSembrados!A23="","",CultivosSembrados!M23)</x:f>
      </x:c>
    </x:row>
    <x:row r="24">
      <x:c r="A24" s="23" t="str">
        <x:f>IF(CultivosSembrados!A24="","",CultivosSembrados!A24)</x:f>
      </x:c>
      <x:c r="B24" s="23" t="str">
        <x:f>IF(CultivosSembrados!A24="","",CultivosSembrados!B24)</x:f>
      </x:c>
      <x:c r="C24" s="23" t="str">
        <x:f>IF(A24="","",IFERROR(VLOOKUP(B24,Fincas!A:B,2,FALSE),""))</x:f>
      </x:c>
      <x:c r="D24" s="23" t="str">
        <x:f>IF(CultivosSembrados!A24="","",CultivosSembrados!C24)</x:f>
      </x:c>
      <x:c r="E24" s="23" t="str">
        <x:f>IF(A24="","",IFERROR(VLOOKUP(D24,Unidades!A:B,2,FALSE),""))</x:f>
      </x:c>
      <x:c r="F24" s="23" t="str">
        <x:f>IF(A24="","",IFERROR(VLOOKUP(D24,Unidades!A:D,4,FALSE),""))</x:f>
      </x:c>
      <x:c r="G24" s="23" t="str">
        <x:f>IF(CultivosSembrados!A24="","",CultivosSembrados!D24)</x:f>
      </x:c>
      <x:c r="H24" s="23" t="str">
        <x:f>IF(A24="","",IFERROR(VLOOKUP(G24,CatalogoCultivos!A:B,2,FALSE),""))</x:f>
      </x:c>
      <x:c r="I24" s="23" t="str">
        <x:f>IF(A24="","",IFERROR(VLOOKUP(G24,CatalogoCultivos!A:C,3,FALSE),""))</x:f>
      </x:c>
      <x:c r="J24" s="23" t="str">
        <x:f>IF(CultivosSembrados!A24="","",CultivosSembrados!G24)</x:f>
      </x:c>
      <x:c r="K24" s="23" t="str">
        <x:f>IF(CultivosSembrados!A24="","",CultivosSembrados!H24)</x:f>
      </x:c>
      <x:c r="L24" s="23" t="str">
        <x:f>IF(A24="","",IFERROR(CultivosSembrados!E24,""))</x:f>
      </x:c>
      <x:c r="M24" s="23" t="str">
        <x:f>IF(A24="","",IFERROR(CultivosSembrados!F24,""))</x:f>
      </x:c>
      <x:c r="N24" s="23" t="str">
        <x:f>IF(A24="","",IFERROR(CultivosSembrados!I24,""))</x:f>
      </x:c>
      <x:c r="O24" s="23" t="str">
        <x:f>IF(A24="","",IFERROR(CultivosSembrados!J24,""))</x:f>
      </x:c>
      <x:c r="P24" s="23" t="str">
        <x:f>IF(A24="","",IFERROR(CultivosSembrados!K24,""))</x:f>
      </x:c>
      <x:c r="Q24" s="23" t="str">
        <x:f>IF(O24&lt;&gt;"",TEXT(O24,"yyyy-mm"),"")</x:f>
      </x:c>
      <x:c r="R24" s="23" t="str">
        <x:f>IF(P24&lt;&gt;"",TEXT(P24,"yyyy-mm"),"")</x:f>
      </x:c>
      <x:c r="S24" s="23" t="str">
        <x:f>IF(O24&lt;&gt;"",O24-TODAY(),"")</x:f>
      </x:c>
      <x:c r="T24" s="23" t="str">
        <x:f>IF(A24="","",IF(N24="","Falta fecha base",IF(G24="","Falta cultivo",IF(D24="","Falta unidad","OK"))))</x:f>
      </x:c>
      <x:c r="U24" s="23" t="str">
        <x:f>IF(CultivosSembrados!A24="","",CultivosSembrados!L24)</x:f>
      </x:c>
      <x:c r="V24" s="23" t="str">
        <x:f>IF(CultivosSembrados!A24="","",CultivosSembrados!M24)</x:f>
      </x:c>
    </x:row>
    <x:row r="25">
      <x:c r="A25" s="23" t="str">
        <x:f>IF(CultivosSembrados!A25="","",CultivosSembrados!A25)</x:f>
      </x:c>
      <x:c r="B25" s="23" t="str">
        <x:f>IF(CultivosSembrados!A25="","",CultivosSembrados!B25)</x:f>
      </x:c>
      <x:c r="C25" s="23" t="str">
        <x:f>IF(A25="","",IFERROR(VLOOKUP(B25,Fincas!A:B,2,FALSE),""))</x:f>
      </x:c>
      <x:c r="D25" s="23" t="str">
        <x:f>IF(CultivosSembrados!A25="","",CultivosSembrados!C25)</x:f>
      </x:c>
      <x:c r="E25" s="23" t="str">
        <x:f>IF(A25="","",IFERROR(VLOOKUP(D25,Unidades!A:B,2,FALSE),""))</x:f>
      </x:c>
      <x:c r="F25" s="23" t="str">
        <x:f>IF(A25="","",IFERROR(VLOOKUP(D25,Unidades!A:D,4,FALSE),""))</x:f>
      </x:c>
      <x:c r="G25" s="23" t="str">
        <x:f>IF(CultivosSembrados!A25="","",CultivosSembrados!D25)</x:f>
      </x:c>
      <x:c r="H25" s="23" t="str">
        <x:f>IF(A25="","",IFERROR(VLOOKUP(G25,CatalogoCultivos!A:B,2,FALSE),""))</x:f>
      </x:c>
      <x:c r="I25" s="23" t="str">
        <x:f>IF(A25="","",IFERROR(VLOOKUP(G25,CatalogoCultivos!A:C,3,FALSE),""))</x:f>
      </x:c>
      <x:c r="J25" s="23" t="str">
        <x:f>IF(CultivosSembrados!A25="","",CultivosSembrados!G25)</x:f>
      </x:c>
      <x:c r="K25" s="23" t="str">
        <x:f>IF(CultivosSembrados!A25="","",CultivosSembrados!H25)</x:f>
      </x:c>
      <x:c r="L25" s="23" t="str">
        <x:f>IF(A25="","",IFERROR(CultivosSembrados!E25,""))</x:f>
      </x:c>
      <x:c r="M25" s="23" t="str">
        <x:f>IF(A25="","",IFERROR(CultivosSembrados!F25,""))</x:f>
      </x:c>
      <x:c r="N25" s="23" t="str">
        <x:f>IF(A25="","",IFERROR(CultivosSembrados!I25,""))</x:f>
      </x:c>
      <x:c r="O25" s="23" t="str">
        <x:f>IF(A25="","",IFERROR(CultivosSembrados!J25,""))</x:f>
      </x:c>
      <x:c r="P25" s="23" t="str">
        <x:f>IF(A25="","",IFERROR(CultivosSembrados!K25,""))</x:f>
      </x:c>
      <x:c r="Q25" s="23" t="str">
        <x:f>IF(O25&lt;&gt;"",TEXT(O25,"yyyy-mm"),"")</x:f>
      </x:c>
      <x:c r="R25" s="23" t="str">
        <x:f>IF(P25&lt;&gt;"",TEXT(P25,"yyyy-mm"),"")</x:f>
      </x:c>
      <x:c r="S25" s="23" t="str">
        <x:f>IF(O25&lt;&gt;"",O25-TODAY(),"")</x:f>
      </x:c>
      <x:c r="T25" s="23" t="str">
        <x:f>IF(A25="","",IF(N25="","Falta fecha base",IF(G25="","Falta cultivo",IF(D25="","Falta unidad","OK"))))</x:f>
      </x:c>
      <x:c r="U25" s="23" t="str">
        <x:f>IF(CultivosSembrados!A25="","",CultivosSembrados!L25)</x:f>
      </x:c>
      <x:c r="V25" s="23" t="str">
        <x:f>IF(CultivosSembrados!A25="","",CultivosSembrados!M25)</x:f>
      </x:c>
    </x:row>
    <x:row r="26">
      <x:c r="A26" s="23" t="str">
        <x:f>IF(CultivosSembrados!A26="","",CultivosSembrados!A26)</x:f>
      </x:c>
      <x:c r="B26" s="23" t="str">
        <x:f>IF(CultivosSembrados!A26="","",CultivosSembrados!B26)</x:f>
      </x:c>
      <x:c r="C26" s="23" t="str">
        <x:f>IF(A26="","",IFERROR(VLOOKUP(B26,Fincas!A:B,2,FALSE),""))</x:f>
      </x:c>
      <x:c r="D26" s="23" t="str">
        <x:f>IF(CultivosSembrados!A26="","",CultivosSembrados!C26)</x:f>
      </x:c>
      <x:c r="E26" s="23" t="str">
        <x:f>IF(A26="","",IFERROR(VLOOKUP(D26,Unidades!A:B,2,FALSE),""))</x:f>
      </x:c>
      <x:c r="F26" s="23" t="str">
        <x:f>IF(A26="","",IFERROR(VLOOKUP(D26,Unidades!A:D,4,FALSE),""))</x:f>
      </x:c>
      <x:c r="G26" s="23" t="str">
        <x:f>IF(CultivosSembrados!A26="","",CultivosSembrados!D26)</x:f>
      </x:c>
      <x:c r="H26" s="23" t="str">
        <x:f>IF(A26="","",IFERROR(VLOOKUP(G26,CatalogoCultivos!A:B,2,FALSE),""))</x:f>
      </x:c>
      <x:c r="I26" s="23" t="str">
        <x:f>IF(A26="","",IFERROR(VLOOKUP(G26,CatalogoCultivos!A:C,3,FALSE),""))</x:f>
      </x:c>
      <x:c r="J26" s="23" t="str">
        <x:f>IF(CultivosSembrados!A26="","",CultivosSembrados!G26)</x:f>
      </x:c>
      <x:c r="K26" s="23" t="str">
        <x:f>IF(CultivosSembrados!A26="","",CultivosSembrados!H26)</x:f>
      </x:c>
      <x:c r="L26" s="23" t="str">
        <x:f>IF(A26="","",IFERROR(CultivosSembrados!E26,""))</x:f>
      </x:c>
      <x:c r="M26" s="23" t="str">
        <x:f>IF(A26="","",IFERROR(CultivosSembrados!F26,""))</x:f>
      </x:c>
      <x:c r="N26" s="23" t="str">
        <x:f>IF(A26="","",IFERROR(CultivosSembrados!I26,""))</x:f>
      </x:c>
      <x:c r="O26" s="23" t="str">
        <x:f>IF(A26="","",IFERROR(CultivosSembrados!J26,""))</x:f>
      </x:c>
      <x:c r="P26" s="23" t="str">
        <x:f>IF(A26="","",IFERROR(CultivosSembrados!K26,""))</x:f>
      </x:c>
      <x:c r="Q26" s="23" t="str">
        <x:f>IF(O26&lt;&gt;"",TEXT(O26,"yyyy-mm"),"")</x:f>
      </x:c>
      <x:c r="R26" s="23" t="str">
        <x:f>IF(P26&lt;&gt;"",TEXT(P26,"yyyy-mm"),"")</x:f>
      </x:c>
      <x:c r="S26" s="23" t="str">
        <x:f>IF(O26&lt;&gt;"",O26-TODAY(),"")</x:f>
      </x:c>
      <x:c r="T26" s="23" t="str">
        <x:f>IF(A26="","",IF(N26="","Falta fecha base",IF(G26="","Falta cultivo",IF(D26="","Falta unidad","OK"))))</x:f>
      </x:c>
      <x:c r="U26" s="23" t="str">
        <x:f>IF(CultivosSembrados!A26="","",CultivosSembrados!L26)</x:f>
      </x:c>
      <x:c r="V26" s="23" t="str">
        <x:f>IF(CultivosSembrados!A26="","",CultivosSembrados!M26)</x:f>
      </x:c>
    </x:row>
    <x:row r="27">
      <x:c r="A27" s="23" t="str">
        <x:f>IF(CultivosSembrados!A27="","",CultivosSembrados!A27)</x:f>
      </x:c>
      <x:c r="B27" s="23" t="str">
        <x:f>IF(CultivosSembrados!A27="","",CultivosSembrados!B27)</x:f>
      </x:c>
      <x:c r="C27" s="23" t="str">
        <x:f>IF(A27="","",IFERROR(VLOOKUP(B27,Fincas!A:B,2,FALSE),""))</x:f>
      </x:c>
      <x:c r="D27" s="23" t="str">
        <x:f>IF(CultivosSembrados!A27="","",CultivosSembrados!C27)</x:f>
      </x:c>
      <x:c r="E27" s="23" t="str">
        <x:f>IF(A27="","",IFERROR(VLOOKUP(D27,Unidades!A:B,2,FALSE),""))</x:f>
      </x:c>
      <x:c r="F27" s="23" t="str">
        <x:f>IF(A27="","",IFERROR(VLOOKUP(D27,Unidades!A:D,4,FALSE),""))</x:f>
      </x:c>
      <x:c r="G27" s="23" t="str">
        <x:f>IF(CultivosSembrados!A27="","",CultivosSembrados!D27)</x:f>
      </x:c>
      <x:c r="H27" s="23" t="str">
        <x:f>IF(A27="","",IFERROR(VLOOKUP(G27,CatalogoCultivos!A:B,2,FALSE),""))</x:f>
      </x:c>
      <x:c r="I27" s="23" t="str">
        <x:f>IF(A27="","",IFERROR(VLOOKUP(G27,CatalogoCultivos!A:C,3,FALSE),""))</x:f>
      </x:c>
      <x:c r="J27" s="23" t="str">
        <x:f>IF(CultivosSembrados!A27="","",CultivosSembrados!G27)</x:f>
      </x:c>
      <x:c r="K27" s="23" t="str">
        <x:f>IF(CultivosSembrados!A27="","",CultivosSembrados!H27)</x:f>
      </x:c>
      <x:c r="L27" s="23" t="str">
        <x:f>IF(A27="","",IFERROR(CultivosSembrados!E27,""))</x:f>
      </x:c>
      <x:c r="M27" s="23" t="str">
        <x:f>IF(A27="","",IFERROR(CultivosSembrados!F27,""))</x:f>
      </x:c>
      <x:c r="N27" s="23" t="str">
        <x:f>IF(A27="","",IFERROR(CultivosSembrados!I27,""))</x:f>
      </x:c>
      <x:c r="O27" s="23" t="str">
        <x:f>IF(A27="","",IFERROR(CultivosSembrados!J27,""))</x:f>
      </x:c>
      <x:c r="P27" s="23" t="str">
        <x:f>IF(A27="","",IFERROR(CultivosSembrados!K27,""))</x:f>
      </x:c>
      <x:c r="Q27" s="23" t="str">
        <x:f>IF(O27&lt;&gt;"",TEXT(O27,"yyyy-mm"),"")</x:f>
      </x:c>
      <x:c r="R27" s="23" t="str">
        <x:f>IF(P27&lt;&gt;"",TEXT(P27,"yyyy-mm"),"")</x:f>
      </x:c>
      <x:c r="S27" s="23" t="str">
        <x:f>IF(O27&lt;&gt;"",O27-TODAY(),"")</x:f>
      </x:c>
      <x:c r="T27" s="23" t="str">
        <x:f>IF(A27="","",IF(N27="","Falta fecha base",IF(G27="","Falta cultivo",IF(D27="","Falta unidad","OK"))))</x:f>
      </x:c>
      <x:c r="U27" s="23" t="str">
        <x:f>IF(CultivosSembrados!A27="","",CultivosSembrados!L27)</x:f>
      </x:c>
      <x:c r="V27" s="23" t="str">
        <x:f>IF(CultivosSembrados!A27="","",CultivosSembrados!M27)</x:f>
      </x:c>
    </x:row>
    <x:row r="28">
      <x:c r="A28" s="23" t="str">
        <x:f>IF(CultivosSembrados!A28="","",CultivosSembrados!A28)</x:f>
      </x:c>
      <x:c r="B28" s="23" t="str">
        <x:f>IF(CultivosSembrados!A28="","",CultivosSembrados!B28)</x:f>
      </x:c>
      <x:c r="C28" s="23" t="str">
        <x:f>IF(A28="","",IFERROR(VLOOKUP(B28,Fincas!A:B,2,FALSE),""))</x:f>
      </x:c>
      <x:c r="D28" s="23" t="str">
        <x:f>IF(CultivosSembrados!A28="","",CultivosSembrados!C28)</x:f>
      </x:c>
      <x:c r="E28" s="23" t="str">
        <x:f>IF(A28="","",IFERROR(VLOOKUP(D28,Unidades!A:B,2,FALSE),""))</x:f>
      </x:c>
      <x:c r="F28" s="23" t="str">
        <x:f>IF(A28="","",IFERROR(VLOOKUP(D28,Unidades!A:D,4,FALSE),""))</x:f>
      </x:c>
      <x:c r="G28" s="23" t="str">
        <x:f>IF(CultivosSembrados!A28="","",CultivosSembrados!D28)</x:f>
      </x:c>
      <x:c r="H28" s="23" t="str">
        <x:f>IF(A28="","",IFERROR(VLOOKUP(G28,CatalogoCultivos!A:B,2,FALSE),""))</x:f>
      </x:c>
      <x:c r="I28" s="23" t="str">
        <x:f>IF(A28="","",IFERROR(VLOOKUP(G28,CatalogoCultivos!A:C,3,FALSE),""))</x:f>
      </x:c>
      <x:c r="J28" s="23" t="str">
        <x:f>IF(CultivosSembrados!A28="","",CultivosSembrados!G28)</x:f>
      </x:c>
      <x:c r="K28" s="23" t="str">
        <x:f>IF(CultivosSembrados!A28="","",CultivosSembrados!H28)</x:f>
      </x:c>
      <x:c r="L28" s="23" t="str">
        <x:f>IF(A28="","",IFERROR(CultivosSembrados!E28,""))</x:f>
      </x:c>
      <x:c r="M28" s="23" t="str">
        <x:f>IF(A28="","",IFERROR(CultivosSembrados!F28,""))</x:f>
      </x:c>
      <x:c r="N28" s="23" t="str">
        <x:f>IF(A28="","",IFERROR(CultivosSembrados!I28,""))</x:f>
      </x:c>
      <x:c r="O28" s="23" t="str">
        <x:f>IF(A28="","",IFERROR(CultivosSembrados!J28,""))</x:f>
      </x:c>
      <x:c r="P28" s="23" t="str">
        <x:f>IF(A28="","",IFERROR(CultivosSembrados!K28,""))</x:f>
      </x:c>
      <x:c r="Q28" s="23" t="str">
        <x:f>IF(O28&lt;&gt;"",TEXT(O28,"yyyy-mm"),"")</x:f>
      </x:c>
      <x:c r="R28" s="23" t="str">
        <x:f>IF(P28&lt;&gt;"",TEXT(P28,"yyyy-mm"),"")</x:f>
      </x:c>
      <x:c r="S28" s="23" t="str">
        <x:f>IF(O28&lt;&gt;"",O28-TODAY(),"")</x:f>
      </x:c>
      <x:c r="T28" s="23" t="str">
        <x:f>IF(A28="","",IF(N28="","Falta fecha base",IF(G28="","Falta cultivo",IF(D28="","Falta unidad","OK"))))</x:f>
      </x:c>
      <x:c r="U28" s="23" t="str">
        <x:f>IF(CultivosSembrados!A28="","",CultivosSembrados!L28)</x:f>
      </x:c>
      <x:c r="V28" s="23" t="str">
        <x:f>IF(CultivosSembrados!A28="","",CultivosSembrados!M28)</x:f>
      </x:c>
    </x:row>
    <x:row r="29">
      <x:c r="A29" s="23" t="str">
        <x:f>IF(CultivosSembrados!A29="","",CultivosSembrados!A29)</x:f>
      </x:c>
      <x:c r="B29" s="23" t="str">
        <x:f>IF(CultivosSembrados!A29="","",CultivosSembrados!B29)</x:f>
      </x:c>
      <x:c r="C29" s="23" t="str">
        <x:f>IF(A29="","",IFERROR(VLOOKUP(B29,Fincas!A:B,2,FALSE),""))</x:f>
      </x:c>
      <x:c r="D29" s="23" t="str">
        <x:f>IF(CultivosSembrados!A29="","",CultivosSembrados!C29)</x:f>
      </x:c>
      <x:c r="E29" s="23" t="str">
        <x:f>IF(A29="","",IFERROR(VLOOKUP(D29,Unidades!A:B,2,FALSE),""))</x:f>
      </x:c>
      <x:c r="F29" s="23" t="str">
        <x:f>IF(A29="","",IFERROR(VLOOKUP(D29,Unidades!A:D,4,FALSE),""))</x:f>
      </x:c>
      <x:c r="G29" s="23" t="str">
        <x:f>IF(CultivosSembrados!A29="","",CultivosSembrados!D29)</x:f>
      </x:c>
      <x:c r="H29" s="23" t="str">
        <x:f>IF(A29="","",IFERROR(VLOOKUP(G29,CatalogoCultivos!A:B,2,FALSE),""))</x:f>
      </x:c>
      <x:c r="I29" s="23" t="str">
        <x:f>IF(A29="","",IFERROR(VLOOKUP(G29,CatalogoCultivos!A:C,3,FALSE),""))</x:f>
      </x:c>
      <x:c r="J29" s="23" t="str">
        <x:f>IF(CultivosSembrados!A29="","",CultivosSembrados!G29)</x:f>
      </x:c>
      <x:c r="K29" s="23" t="str">
        <x:f>IF(CultivosSembrados!A29="","",CultivosSembrados!H29)</x:f>
      </x:c>
      <x:c r="L29" s="23" t="str">
        <x:f>IF(A29="","",IFERROR(CultivosSembrados!E29,""))</x:f>
      </x:c>
      <x:c r="M29" s="23" t="str">
        <x:f>IF(A29="","",IFERROR(CultivosSembrados!F29,""))</x:f>
      </x:c>
      <x:c r="N29" s="23" t="str">
        <x:f>IF(A29="","",IFERROR(CultivosSembrados!I29,""))</x:f>
      </x:c>
      <x:c r="O29" s="23" t="str">
        <x:f>IF(A29="","",IFERROR(CultivosSembrados!J29,""))</x:f>
      </x:c>
      <x:c r="P29" s="23" t="str">
        <x:f>IF(A29="","",IFERROR(CultivosSembrados!K29,""))</x:f>
      </x:c>
      <x:c r="Q29" s="23" t="str">
        <x:f>IF(O29&lt;&gt;"",TEXT(O29,"yyyy-mm"),"")</x:f>
      </x:c>
      <x:c r="R29" s="23" t="str">
        <x:f>IF(P29&lt;&gt;"",TEXT(P29,"yyyy-mm"),"")</x:f>
      </x:c>
      <x:c r="S29" s="23" t="str">
        <x:f>IF(O29&lt;&gt;"",O29-TODAY(),"")</x:f>
      </x:c>
      <x:c r="T29" s="23" t="str">
        <x:f>IF(A29="","",IF(N29="","Falta fecha base",IF(G29="","Falta cultivo",IF(D29="","Falta unidad","OK"))))</x:f>
      </x:c>
      <x:c r="U29" s="23" t="str">
        <x:f>IF(CultivosSembrados!A29="","",CultivosSembrados!L29)</x:f>
      </x:c>
      <x:c r="V29" s="23" t="str">
        <x:f>IF(CultivosSembrados!A29="","",CultivosSembrados!M29)</x:f>
      </x:c>
    </x:row>
    <x:row r="30">
      <x:c r="A30" s="23" t="str">
        <x:f>IF(CultivosSembrados!A30="","",CultivosSembrados!A30)</x:f>
      </x:c>
      <x:c r="B30" s="23" t="str">
        <x:f>IF(CultivosSembrados!A30="","",CultivosSembrados!B30)</x:f>
      </x:c>
      <x:c r="C30" s="23" t="str">
        <x:f>IF(A30="","",IFERROR(VLOOKUP(B30,Fincas!A:B,2,FALSE),""))</x:f>
      </x:c>
      <x:c r="D30" s="23" t="str">
        <x:f>IF(CultivosSembrados!A30="","",CultivosSembrados!C30)</x:f>
      </x:c>
      <x:c r="E30" s="23" t="str">
        <x:f>IF(A30="","",IFERROR(VLOOKUP(D30,Unidades!A:B,2,FALSE),""))</x:f>
      </x:c>
      <x:c r="F30" s="23" t="str">
        <x:f>IF(A30="","",IFERROR(VLOOKUP(D30,Unidades!A:D,4,FALSE),""))</x:f>
      </x:c>
      <x:c r="G30" s="23" t="str">
        <x:f>IF(CultivosSembrados!A30="","",CultivosSembrados!D30)</x:f>
      </x:c>
      <x:c r="H30" s="23" t="str">
        <x:f>IF(A30="","",IFERROR(VLOOKUP(G30,CatalogoCultivos!A:B,2,FALSE),""))</x:f>
      </x:c>
      <x:c r="I30" s="23" t="str">
        <x:f>IF(A30="","",IFERROR(VLOOKUP(G30,CatalogoCultivos!A:C,3,FALSE),""))</x:f>
      </x:c>
      <x:c r="J30" s="23" t="str">
        <x:f>IF(CultivosSembrados!A30="","",CultivosSembrados!G30)</x:f>
      </x:c>
      <x:c r="K30" s="23" t="str">
        <x:f>IF(CultivosSembrados!A30="","",CultivosSembrados!H30)</x:f>
      </x:c>
      <x:c r="L30" s="23" t="str">
        <x:f>IF(A30="","",IFERROR(CultivosSembrados!E30,""))</x:f>
      </x:c>
      <x:c r="M30" s="23" t="str">
        <x:f>IF(A30="","",IFERROR(CultivosSembrados!F30,""))</x:f>
      </x:c>
      <x:c r="N30" s="23" t="str">
        <x:f>IF(A30="","",IFERROR(CultivosSembrados!I30,""))</x:f>
      </x:c>
      <x:c r="O30" s="23" t="str">
        <x:f>IF(A30="","",IFERROR(CultivosSembrados!J30,""))</x:f>
      </x:c>
      <x:c r="P30" s="23" t="str">
        <x:f>IF(A30="","",IFERROR(CultivosSembrados!K30,""))</x:f>
      </x:c>
      <x:c r="Q30" s="23" t="str">
        <x:f>IF(O30&lt;&gt;"",TEXT(O30,"yyyy-mm"),"")</x:f>
      </x:c>
      <x:c r="R30" s="23" t="str">
        <x:f>IF(P30&lt;&gt;"",TEXT(P30,"yyyy-mm"),"")</x:f>
      </x:c>
      <x:c r="S30" s="23" t="str">
        <x:f>IF(O30&lt;&gt;"",O30-TODAY(),"")</x:f>
      </x:c>
      <x:c r="T30" s="23" t="str">
        <x:f>IF(A30="","",IF(N30="","Falta fecha base",IF(G30="","Falta cultivo",IF(D30="","Falta unidad","OK"))))</x:f>
      </x:c>
      <x:c r="U30" s="23" t="str">
        <x:f>IF(CultivosSembrados!A30="","",CultivosSembrados!L30)</x:f>
      </x:c>
      <x:c r="V30" s="23" t="str">
        <x:f>IF(CultivosSembrados!A30="","",CultivosSembrados!M30)</x:f>
      </x:c>
    </x:row>
    <x:row r="31">
      <x:c r="A31" s="23" t="str">
        <x:f>IF(CultivosSembrados!A31="","",CultivosSembrados!A31)</x:f>
      </x:c>
      <x:c r="B31" s="23" t="str">
        <x:f>IF(CultivosSembrados!A31="","",CultivosSembrados!B31)</x:f>
      </x:c>
      <x:c r="C31" s="23" t="str">
        <x:f>IF(A31="","",IFERROR(VLOOKUP(B31,Fincas!A:B,2,FALSE),""))</x:f>
      </x:c>
      <x:c r="D31" s="23" t="str">
        <x:f>IF(CultivosSembrados!A31="","",CultivosSembrados!C31)</x:f>
      </x:c>
      <x:c r="E31" s="23" t="str">
        <x:f>IF(A31="","",IFERROR(VLOOKUP(D31,Unidades!A:B,2,FALSE),""))</x:f>
      </x:c>
      <x:c r="F31" s="23" t="str">
        <x:f>IF(A31="","",IFERROR(VLOOKUP(D31,Unidades!A:D,4,FALSE),""))</x:f>
      </x:c>
      <x:c r="G31" s="23" t="str">
        <x:f>IF(CultivosSembrados!A31="","",CultivosSembrados!D31)</x:f>
      </x:c>
      <x:c r="H31" s="23" t="str">
        <x:f>IF(A31="","",IFERROR(VLOOKUP(G31,CatalogoCultivos!A:B,2,FALSE),""))</x:f>
      </x:c>
      <x:c r="I31" s="23" t="str">
        <x:f>IF(A31="","",IFERROR(VLOOKUP(G31,CatalogoCultivos!A:C,3,FALSE),""))</x:f>
      </x:c>
      <x:c r="J31" s="23" t="str">
        <x:f>IF(CultivosSembrados!A31="","",CultivosSembrados!G31)</x:f>
      </x:c>
      <x:c r="K31" s="23" t="str">
        <x:f>IF(CultivosSembrados!A31="","",CultivosSembrados!H31)</x:f>
      </x:c>
      <x:c r="L31" s="23" t="str">
        <x:f>IF(A31="","",IFERROR(CultivosSembrados!E31,""))</x:f>
      </x:c>
      <x:c r="M31" s="23" t="str">
        <x:f>IF(A31="","",IFERROR(CultivosSembrados!F31,""))</x:f>
      </x:c>
      <x:c r="N31" s="23" t="str">
        <x:f>IF(A31="","",IFERROR(CultivosSembrados!I31,""))</x:f>
      </x:c>
      <x:c r="O31" s="23" t="str">
        <x:f>IF(A31="","",IFERROR(CultivosSembrados!J31,""))</x:f>
      </x:c>
      <x:c r="P31" s="23" t="str">
        <x:f>IF(A31="","",IFERROR(CultivosSembrados!K31,""))</x:f>
      </x:c>
      <x:c r="Q31" s="23" t="str">
        <x:f>IF(O31&lt;&gt;"",TEXT(O31,"yyyy-mm"),"")</x:f>
      </x:c>
      <x:c r="R31" s="23" t="str">
        <x:f>IF(P31&lt;&gt;"",TEXT(P31,"yyyy-mm"),"")</x:f>
      </x:c>
      <x:c r="S31" s="23" t="str">
        <x:f>IF(O31&lt;&gt;"",O31-TODAY(),"")</x:f>
      </x:c>
      <x:c r="T31" s="23" t="str">
        <x:f>IF(A31="","",IF(N31="","Falta fecha base",IF(G31="","Falta cultivo",IF(D31="","Falta unidad","OK"))))</x:f>
      </x:c>
      <x:c r="U31" s="23" t="str">
        <x:f>IF(CultivosSembrados!A31="","",CultivosSembrados!L31)</x:f>
      </x:c>
      <x:c r="V31" s="23" t="str">
        <x:f>IF(CultivosSembrados!A31="","",CultivosSembrados!M31)</x:f>
      </x:c>
    </x:row>
    <x:row r="32">
      <x:c r="A32" s="23" t="str">
        <x:f>IF(CultivosSembrados!A32="","",CultivosSembrados!A32)</x:f>
      </x:c>
      <x:c r="B32" s="23" t="str">
        <x:f>IF(CultivosSembrados!A32="","",CultivosSembrados!B32)</x:f>
      </x:c>
      <x:c r="C32" s="23" t="str">
        <x:f>IF(A32="","",IFERROR(VLOOKUP(B32,Fincas!A:B,2,FALSE),""))</x:f>
      </x:c>
      <x:c r="D32" s="23" t="str">
        <x:f>IF(CultivosSembrados!A32="","",CultivosSembrados!C32)</x:f>
      </x:c>
      <x:c r="E32" s="23" t="str">
        <x:f>IF(A32="","",IFERROR(VLOOKUP(D32,Unidades!A:B,2,FALSE),""))</x:f>
      </x:c>
      <x:c r="F32" s="23" t="str">
        <x:f>IF(A32="","",IFERROR(VLOOKUP(D32,Unidades!A:D,4,FALSE),""))</x:f>
      </x:c>
      <x:c r="G32" s="23" t="str">
        <x:f>IF(CultivosSembrados!A32="","",CultivosSembrados!D32)</x:f>
      </x:c>
      <x:c r="H32" s="23" t="str">
        <x:f>IF(A32="","",IFERROR(VLOOKUP(G32,CatalogoCultivos!A:B,2,FALSE),""))</x:f>
      </x:c>
      <x:c r="I32" s="23" t="str">
        <x:f>IF(A32="","",IFERROR(VLOOKUP(G32,CatalogoCultivos!A:C,3,FALSE),""))</x:f>
      </x:c>
      <x:c r="J32" s="23" t="str">
        <x:f>IF(CultivosSembrados!A32="","",CultivosSembrados!G32)</x:f>
      </x:c>
      <x:c r="K32" s="23" t="str">
        <x:f>IF(CultivosSembrados!A32="","",CultivosSembrados!H32)</x:f>
      </x:c>
      <x:c r="L32" s="23" t="str">
        <x:f>IF(A32="","",IFERROR(CultivosSembrados!E32,""))</x:f>
      </x:c>
      <x:c r="M32" s="23" t="str">
        <x:f>IF(A32="","",IFERROR(CultivosSembrados!F32,""))</x:f>
      </x:c>
      <x:c r="N32" s="23" t="str">
        <x:f>IF(A32="","",IFERROR(CultivosSembrados!I32,""))</x:f>
      </x:c>
      <x:c r="O32" s="23" t="str">
        <x:f>IF(A32="","",IFERROR(CultivosSembrados!J32,""))</x:f>
      </x:c>
      <x:c r="P32" s="23" t="str">
        <x:f>IF(A32="","",IFERROR(CultivosSembrados!K32,""))</x:f>
      </x:c>
      <x:c r="Q32" s="23" t="str">
        <x:f>IF(O32&lt;&gt;"",TEXT(O32,"yyyy-mm"),"")</x:f>
      </x:c>
      <x:c r="R32" s="23" t="str">
        <x:f>IF(P32&lt;&gt;"",TEXT(P32,"yyyy-mm"),"")</x:f>
      </x:c>
      <x:c r="S32" s="23" t="str">
        <x:f>IF(O32&lt;&gt;"",O32-TODAY(),"")</x:f>
      </x:c>
      <x:c r="T32" s="23" t="str">
        <x:f>IF(A32="","",IF(N32="","Falta fecha base",IF(G32="","Falta cultivo",IF(D32="","Falta unidad","OK"))))</x:f>
      </x:c>
      <x:c r="U32" s="23" t="str">
        <x:f>IF(CultivosSembrados!A32="","",CultivosSembrados!L32)</x:f>
      </x:c>
      <x:c r="V32" s="23" t="str">
        <x:f>IF(CultivosSembrados!A32="","",CultivosSembrados!M32)</x:f>
      </x:c>
    </x:row>
    <x:row r="33">
      <x:c r="A33" s="23" t="str">
        <x:f>IF(CultivosSembrados!A33="","",CultivosSembrados!A33)</x:f>
      </x:c>
      <x:c r="B33" s="23" t="str">
        <x:f>IF(CultivosSembrados!A33="","",CultivosSembrados!B33)</x:f>
      </x:c>
      <x:c r="C33" s="23" t="str">
        <x:f>IF(A33="","",IFERROR(VLOOKUP(B33,Fincas!A:B,2,FALSE),""))</x:f>
      </x:c>
      <x:c r="D33" s="23" t="str">
        <x:f>IF(CultivosSembrados!A33="","",CultivosSembrados!C33)</x:f>
      </x:c>
      <x:c r="E33" s="23" t="str">
        <x:f>IF(A33="","",IFERROR(VLOOKUP(D33,Unidades!A:B,2,FALSE),""))</x:f>
      </x:c>
      <x:c r="F33" s="23" t="str">
        <x:f>IF(A33="","",IFERROR(VLOOKUP(D33,Unidades!A:D,4,FALSE),""))</x:f>
      </x:c>
      <x:c r="G33" s="23" t="str">
        <x:f>IF(CultivosSembrados!A33="","",CultivosSembrados!D33)</x:f>
      </x:c>
      <x:c r="H33" s="23" t="str">
        <x:f>IF(A33="","",IFERROR(VLOOKUP(G33,CatalogoCultivos!A:B,2,FALSE),""))</x:f>
      </x:c>
      <x:c r="I33" s="23" t="str">
        <x:f>IF(A33="","",IFERROR(VLOOKUP(G33,CatalogoCultivos!A:C,3,FALSE),""))</x:f>
      </x:c>
      <x:c r="J33" s="23" t="str">
        <x:f>IF(CultivosSembrados!A33="","",CultivosSembrados!G33)</x:f>
      </x:c>
      <x:c r="K33" s="23" t="str">
        <x:f>IF(CultivosSembrados!A33="","",CultivosSembrados!H33)</x:f>
      </x:c>
      <x:c r="L33" s="23" t="str">
        <x:f>IF(A33="","",IFERROR(CultivosSembrados!E33,""))</x:f>
      </x:c>
      <x:c r="M33" s="23" t="str">
        <x:f>IF(A33="","",IFERROR(CultivosSembrados!F33,""))</x:f>
      </x:c>
      <x:c r="N33" s="23" t="str">
        <x:f>IF(A33="","",IFERROR(CultivosSembrados!I33,""))</x:f>
      </x:c>
      <x:c r="O33" s="23" t="str">
        <x:f>IF(A33="","",IFERROR(CultivosSembrados!J33,""))</x:f>
      </x:c>
      <x:c r="P33" s="23" t="str">
        <x:f>IF(A33="","",IFERROR(CultivosSembrados!K33,""))</x:f>
      </x:c>
      <x:c r="Q33" s="23" t="str">
        <x:f>IF(O33&lt;&gt;"",TEXT(O33,"yyyy-mm"),"")</x:f>
      </x:c>
      <x:c r="R33" s="23" t="str">
        <x:f>IF(P33&lt;&gt;"",TEXT(P33,"yyyy-mm"),"")</x:f>
      </x:c>
      <x:c r="S33" s="23" t="str">
        <x:f>IF(O33&lt;&gt;"",O33-TODAY(),"")</x:f>
      </x:c>
      <x:c r="T33" s="23" t="str">
        <x:f>IF(A33="","",IF(N33="","Falta fecha base",IF(G33="","Falta cultivo",IF(D33="","Falta unidad","OK"))))</x:f>
      </x:c>
      <x:c r="U33" s="23" t="str">
        <x:f>IF(CultivosSembrados!A33="","",CultivosSembrados!L33)</x:f>
      </x:c>
      <x:c r="V33" s="23" t="str">
        <x:f>IF(CultivosSembrados!A33="","",CultivosSembrados!M33)</x:f>
      </x:c>
    </x:row>
    <x:row r="34">
      <x:c r="A34" s="23" t="str">
        <x:f>IF(CultivosSembrados!A34="","",CultivosSembrados!A34)</x:f>
      </x:c>
      <x:c r="B34" s="23" t="str">
        <x:f>IF(CultivosSembrados!A34="","",CultivosSembrados!B34)</x:f>
      </x:c>
      <x:c r="C34" s="23" t="str">
        <x:f>IF(A34="","",IFERROR(VLOOKUP(B34,Fincas!A:B,2,FALSE),""))</x:f>
      </x:c>
      <x:c r="D34" s="23" t="str">
        <x:f>IF(CultivosSembrados!A34="","",CultivosSembrados!C34)</x:f>
      </x:c>
      <x:c r="E34" s="23" t="str">
        <x:f>IF(A34="","",IFERROR(VLOOKUP(D34,Unidades!A:B,2,FALSE),""))</x:f>
      </x:c>
      <x:c r="F34" s="23" t="str">
        <x:f>IF(A34="","",IFERROR(VLOOKUP(D34,Unidades!A:D,4,FALSE),""))</x:f>
      </x:c>
      <x:c r="G34" s="23" t="str">
        <x:f>IF(CultivosSembrados!A34="","",CultivosSembrados!D34)</x:f>
      </x:c>
      <x:c r="H34" s="23" t="str">
        <x:f>IF(A34="","",IFERROR(VLOOKUP(G34,CatalogoCultivos!A:B,2,FALSE),""))</x:f>
      </x:c>
      <x:c r="I34" s="23" t="str">
        <x:f>IF(A34="","",IFERROR(VLOOKUP(G34,CatalogoCultivos!A:C,3,FALSE),""))</x:f>
      </x:c>
      <x:c r="J34" s="23" t="str">
        <x:f>IF(CultivosSembrados!A34="","",CultivosSembrados!G34)</x:f>
      </x:c>
      <x:c r="K34" s="23" t="str">
        <x:f>IF(CultivosSembrados!A34="","",CultivosSembrados!H34)</x:f>
      </x:c>
      <x:c r="L34" s="23" t="str">
        <x:f>IF(A34="","",IFERROR(CultivosSembrados!E34,""))</x:f>
      </x:c>
      <x:c r="M34" s="23" t="str">
        <x:f>IF(A34="","",IFERROR(CultivosSembrados!F34,""))</x:f>
      </x:c>
      <x:c r="N34" s="23" t="str">
        <x:f>IF(A34="","",IFERROR(CultivosSembrados!I34,""))</x:f>
      </x:c>
      <x:c r="O34" s="23" t="str">
        <x:f>IF(A34="","",IFERROR(CultivosSembrados!J34,""))</x:f>
      </x:c>
      <x:c r="P34" s="23" t="str">
        <x:f>IF(A34="","",IFERROR(CultivosSembrados!K34,""))</x:f>
      </x:c>
      <x:c r="Q34" s="23" t="str">
        <x:f>IF(O34&lt;&gt;"",TEXT(O34,"yyyy-mm"),"")</x:f>
      </x:c>
      <x:c r="R34" s="23" t="str">
        <x:f>IF(P34&lt;&gt;"",TEXT(P34,"yyyy-mm"),"")</x:f>
      </x:c>
      <x:c r="S34" s="23" t="str">
        <x:f>IF(O34&lt;&gt;"",O34-TODAY(),"")</x:f>
      </x:c>
      <x:c r="T34" s="23" t="str">
        <x:f>IF(A34="","",IF(N34="","Falta fecha base",IF(G34="","Falta cultivo",IF(D34="","Falta unidad","OK"))))</x:f>
      </x:c>
      <x:c r="U34" s="23" t="str">
        <x:f>IF(CultivosSembrados!A34="","",CultivosSembrados!L34)</x:f>
      </x:c>
      <x:c r="V34" s="23" t="str">
        <x:f>IF(CultivosSembrados!A34="","",CultivosSembrados!M34)</x:f>
      </x:c>
    </x:row>
    <x:row r="35">
      <x:c r="A35" s="23" t="str">
        <x:f>IF(CultivosSembrados!A35="","",CultivosSembrados!A35)</x:f>
      </x:c>
      <x:c r="B35" s="23" t="str">
        <x:f>IF(CultivosSembrados!A35="","",CultivosSembrados!B35)</x:f>
      </x:c>
      <x:c r="C35" s="23" t="str">
        <x:f>IF(A35="","",IFERROR(VLOOKUP(B35,Fincas!A:B,2,FALSE),""))</x:f>
      </x:c>
      <x:c r="D35" s="23" t="str">
        <x:f>IF(CultivosSembrados!A35="","",CultivosSembrados!C35)</x:f>
      </x:c>
      <x:c r="E35" s="23" t="str">
        <x:f>IF(A35="","",IFERROR(VLOOKUP(D35,Unidades!A:B,2,FALSE),""))</x:f>
      </x:c>
      <x:c r="F35" s="23" t="str">
        <x:f>IF(A35="","",IFERROR(VLOOKUP(D35,Unidades!A:D,4,FALSE),""))</x:f>
      </x:c>
      <x:c r="G35" s="23" t="str">
        <x:f>IF(CultivosSembrados!A35="","",CultivosSembrados!D35)</x:f>
      </x:c>
      <x:c r="H35" s="23" t="str">
        <x:f>IF(A35="","",IFERROR(VLOOKUP(G35,CatalogoCultivos!A:B,2,FALSE),""))</x:f>
      </x:c>
      <x:c r="I35" s="23" t="str">
        <x:f>IF(A35="","",IFERROR(VLOOKUP(G35,CatalogoCultivos!A:C,3,FALSE),""))</x:f>
      </x:c>
      <x:c r="J35" s="23" t="str">
        <x:f>IF(CultivosSembrados!A35="","",CultivosSembrados!G35)</x:f>
      </x:c>
      <x:c r="K35" s="23" t="str">
        <x:f>IF(CultivosSembrados!A35="","",CultivosSembrados!H35)</x:f>
      </x:c>
      <x:c r="L35" s="23" t="str">
        <x:f>IF(A35="","",IFERROR(CultivosSembrados!E35,""))</x:f>
      </x:c>
      <x:c r="M35" s="23" t="str">
        <x:f>IF(A35="","",IFERROR(CultivosSembrados!F35,""))</x:f>
      </x:c>
      <x:c r="N35" s="23" t="str">
        <x:f>IF(A35="","",IFERROR(CultivosSembrados!I35,""))</x:f>
      </x:c>
      <x:c r="O35" s="23" t="str">
        <x:f>IF(A35="","",IFERROR(CultivosSembrados!J35,""))</x:f>
      </x:c>
      <x:c r="P35" s="23" t="str">
        <x:f>IF(A35="","",IFERROR(CultivosSembrados!K35,""))</x:f>
      </x:c>
      <x:c r="Q35" s="23" t="str">
        <x:f>IF(O35&lt;&gt;"",TEXT(O35,"yyyy-mm"),"")</x:f>
      </x:c>
      <x:c r="R35" s="23" t="str">
        <x:f>IF(P35&lt;&gt;"",TEXT(P35,"yyyy-mm"),"")</x:f>
      </x:c>
      <x:c r="S35" s="23" t="str">
        <x:f>IF(O35&lt;&gt;"",O35-TODAY(),"")</x:f>
      </x:c>
      <x:c r="T35" s="23" t="str">
        <x:f>IF(A35="","",IF(N35="","Falta fecha base",IF(G35="","Falta cultivo",IF(D35="","Falta unidad","OK"))))</x:f>
      </x:c>
      <x:c r="U35" s="23" t="str">
        <x:f>IF(CultivosSembrados!A35="","",CultivosSembrados!L35)</x:f>
      </x:c>
      <x:c r="V35" s="23" t="str">
        <x:f>IF(CultivosSembrados!A35="","",CultivosSembrados!M35)</x:f>
      </x:c>
    </x:row>
    <x:row r="36">
      <x:c r="A36" s="23" t="str">
        <x:f>IF(CultivosSembrados!A36="","",CultivosSembrados!A36)</x:f>
      </x:c>
      <x:c r="B36" s="23" t="str">
        <x:f>IF(CultivosSembrados!A36="","",CultivosSembrados!B36)</x:f>
      </x:c>
      <x:c r="C36" s="23" t="str">
        <x:f>IF(A36="","",IFERROR(VLOOKUP(B36,Fincas!A:B,2,FALSE),""))</x:f>
      </x:c>
      <x:c r="D36" s="23" t="str">
        <x:f>IF(CultivosSembrados!A36="","",CultivosSembrados!C36)</x:f>
      </x:c>
      <x:c r="E36" s="23" t="str">
        <x:f>IF(A36="","",IFERROR(VLOOKUP(D36,Unidades!A:B,2,FALSE),""))</x:f>
      </x:c>
      <x:c r="F36" s="23" t="str">
        <x:f>IF(A36="","",IFERROR(VLOOKUP(D36,Unidades!A:D,4,FALSE),""))</x:f>
      </x:c>
      <x:c r="G36" s="23" t="str">
        <x:f>IF(CultivosSembrados!A36="","",CultivosSembrados!D36)</x:f>
      </x:c>
      <x:c r="H36" s="23" t="str">
        <x:f>IF(A36="","",IFERROR(VLOOKUP(G36,CatalogoCultivos!A:B,2,FALSE),""))</x:f>
      </x:c>
      <x:c r="I36" s="23" t="str">
        <x:f>IF(A36="","",IFERROR(VLOOKUP(G36,CatalogoCultivos!A:C,3,FALSE),""))</x:f>
      </x:c>
      <x:c r="J36" s="23" t="str">
        <x:f>IF(CultivosSembrados!A36="","",CultivosSembrados!G36)</x:f>
      </x:c>
      <x:c r="K36" s="23" t="str">
        <x:f>IF(CultivosSembrados!A36="","",CultivosSembrados!H36)</x:f>
      </x:c>
      <x:c r="L36" s="23" t="str">
        <x:f>IF(A36="","",IFERROR(CultivosSembrados!E36,""))</x:f>
      </x:c>
      <x:c r="M36" s="23" t="str">
        <x:f>IF(A36="","",IFERROR(CultivosSembrados!F36,""))</x:f>
      </x:c>
      <x:c r="N36" s="23" t="str">
        <x:f>IF(A36="","",IFERROR(CultivosSembrados!I36,""))</x:f>
      </x:c>
      <x:c r="O36" s="23" t="str">
        <x:f>IF(A36="","",IFERROR(CultivosSembrados!J36,""))</x:f>
      </x:c>
      <x:c r="P36" s="23" t="str">
        <x:f>IF(A36="","",IFERROR(CultivosSembrados!K36,""))</x:f>
      </x:c>
      <x:c r="Q36" s="23" t="str">
        <x:f>IF(O36&lt;&gt;"",TEXT(O36,"yyyy-mm"),"")</x:f>
      </x:c>
      <x:c r="R36" s="23" t="str">
        <x:f>IF(P36&lt;&gt;"",TEXT(P36,"yyyy-mm"),"")</x:f>
      </x:c>
      <x:c r="S36" s="23" t="str">
        <x:f>IF(O36&lt;&gt;"",O36-TODAY(),"")</x:f>
      </x:c>
      <x:c r="T36" s="23" t="str">
        <x:f>IF(A36="","",IF(N36="","Falta fecha base",IF(G36="","Falta cultivo",IF(D36="","Falta unidad","OK"))))</x:f>
      </x:c>
      <x:c r="U36" s="23" t="str">
        <x:f>IF(CultivosSembrados!A36="","",CultivosSembrados!L36)</x:f>
      </x:c>
      <x:c r="V36" s="23" t="str">
        <x:f>IF(CultivosSembrados!A36="","",CultivosSembrados!M36)</x:f>
      </x:c>
    </x:row>
    <x:row r="37">
      <x:c r="A37" s="23" t="str">
        <x:f>IF(CultivosSembrados!A37="","",CultivosSembrados!A37)</x:f>
      </x:c>
      <x:c r="B37" s="23" t="str">
        <x:f>IF(CultivosSembrados!A37="","",CultivosSembrados!B37)</x:f>
      </x:c>
      <x:c r="C37" s="23" t="str">
        <x:f>IF(A37="","",IFERROR(VLOOKUP(B37,Fincas!A:B,2,FALSE),""))</x:f>
      </x:c>
      <x:c r="D37" s="23" t="str">
        <x:f>IF(CultivosSembrados!A37="","",CultivosSembrados!C37)</x:f>
      </x:c>
      <x:c r="E37" s="23" t="str">
        <x:f>IF(A37="","",IFERROR(VLOOKUP(D37,Unidades!A:B,2,FALSE),""))</x:f>
      </x:c>
      <x:c r="F37" s="23" t="str">
        <x:f>IF(A37="","",IFERROR(VLOOKUP(D37,Unidades!A:D,4,FALSE),""))</x:f>
      </x:c>
      <x:c r="G37" s="23" t="str">
        <x:f>IF(CultivosSembrados!A37="","",CultivosSembrados!D37)</x:f>
      </x:c>
      <x:c r="H37" s="23" t="str">
        <x:f>IF(A37="","",IFERROR(VLOOKUP(G37,CatalogoCultivos!A:B,2,FALSE),""))</x:f>
      </x:c>
      <x:c r="I37" s="23" t="str">
        <x:f>IF(A37="","",IFERROR(VLOOKUP(G37,CatalogoCultivos!A:C,3,FALSE),""))</x:f>
      </x:c>
      <x:c r="J37" s="23" t="str">
        <x:f>IF(CultivosSembrados!A37="","",CultivosSembrados!G37)</x:f>
      </x:c>
      <x:c r="K37" s="23" t="str">
        <x:f>IF(CultivosSembrados!A37="","",CultivosSembrados!H37)</x:f>
      </x:c>
      <x:c r="L37" s="23" t="str">
        <x:f>IF(A37="","",IFERROR(CultivosSembrados!E37,""))</x:f>
      </x:c>
      <x:c r="M37" s="23" t="str">
        <x:f>IF(A37="","",IFERROR(CultivosSembrados!F37,""))</x:f>
      </x:c>
      <x:c r="N37" s="23" t="str">
        <x:f>IF(A37="","",IFERROR(CultivosSembrados!I37,""))</x:f>
      </x:c>
      <x:c r="O37" s="23" t="str">
        <x:f>IF(A37="","",IFERROR(CultivosSembrados!J37,""))</x:f>
      </x:c>
      <x:c r="P37" s="23" t="str">
        <x:f>IF(A37="","",IFERROR(CultivosSembrados!K37,""))</x:f>
      </x:c>
      <x:c r="Q37" s="23" t="str">
        <x:f>IF(O37&lt;&gt;"",TEXT(O37,"yyyy-mm"),"")</x:f>
      </x:c>
      <x:c r="R37" s="23" t="str">
        <x:f>IF(P37&lt;&gt;"",TEXT(P37,"yyyy-mm"),"")</x:f>
      </x:c>
      <x:c r="S37" s="23" t="str">
        <x:f>IF(O37&lt;&gt;"",O37-TODAY(),"")</x:f>
      </x:c>
      <x:c r="T37" s="23" t="str">
        <x:f>IF(A37="","",IF(N37="","Falta fecha base",IF(G37="","Falta cultivo",IF(D37="","Falta unidad","OK"))))</x:f>
      </x:c>
      <x:c r="U37" s="23" t="str">
        <x:f>IF(CultivosSembrados!A37="","",CultivosSembrados!L37)</x:f>
      </x:c>
      <x:c r="V37" s="23" t="str">
        <x:f>IF(CultivosSembrados!A37="","",CultivosSembrados!M37)</x:f>
      </x:c>
    </x:row>
    <x:row r="38">
      <x:c r="A38" s="23" t="str">
        <x:f>IF(CultivosSembrados!A38="","",CultivosSembrados!A38)</x:f>
      </x:c>
      <x:c r="B38" s="23" t="str">
        <x:f>IF(CultivosSembrados!A38="","",CultivosSembrados!B38)</x:f>
      </x:c>
      <x:c r="C38" s="23" t="str">
        <x:f>IF(A38="","",IFERROR(VLOOKUP(B38,Fincas!A:B,2,FALSE),""))</x:f>
      </x:c>
      <x:c r="D38" s="23" t="str">
        <x:f>IF(CultivosSembrados!A38="","",CultivosSembrados!C38)</x:f>
      </x:c>
      <x:c r="E38" s="23" t="str">
        <x:f>IF(A38="","",IFERROR(VLOOKUP(D38,Unidades!A:B,2,FALSE),""))</x:f>
      </x:c>
      <x:c r="F38" s="23" t="str">
        <x:f>IF(A38="","",IFERROR(VLOOKUP(D38,Unidades!A:D,4,FALSE),""))</x:f>
      </x:c>
      <x:c r="G38" s="23" t="str">
        <x:f>IF(CultivosSembrados!A38="","",CultivosSembrados!D38)</x:f>
      </x:c>
      <x:c r="H38" s="23" t="str">
        <x:f>IF(A38="","",IFERROR(VLOOKUP(G38,CatalogoCultivos!A:B,2,FALSE),""))</x:f>
      </x:c>
      <x:c r="I38" s="23" t="str">
        <x:f>IF(A38="","",IFERROR(VLOOKUP(G38,CatalogoCultivos!A:C,3,FALSE),""))</x:f>
      </x:c>
      <x:c r="J38" s="23" t="str">
        <x:f>IF(CultivosSembrados!A38="","",CultivosSembrados!G38)</x:f>
      </x:c>
      <x:c r="K38" s="23" t="str">
        <x:f>IF(CultivosSembrados!A38="","",CultivosSembrados!H38)</x:f>
      </x:c>
      <x:c r="L38" s="23" t="str">
        <x:f>IF(A38="","",IFERROR(CultivosSembrados!E38,""))</x:f>
      </x:c>
      <x:c r="M38" s="23" t="str">
        <x:f>IF(A38="","",IFERROR(CultivosSembrados!F38,""))</x:f>
      </x:c>
      <x:c r="N38" s="23" t="str">
        <x:f>IF(A38="","",IFERROR(CultivosSembrados!I38,""))</x:f>
      </x:c>
      <x:c r="O38" s="23" t="str">
        <x:f>IF(A38="","",IFERROR(CultivosSembrados!J38,""))</x:f>
      </x:c>
      <x:c r="P38" s="23" t="str">
        <x:f>IF(A38="","",IFERROR(CultivosSembrados!K38,""))</x:f>
      </x:c>
      <x:c r="Q38" s="23" t="str">
        <x:f>IF(O38&lt;&gt;"",TEXT(O38,"yyyy-mm"),"")</x:f>
      </x:c>
      <x:c r="R38" s="23" t="str">
        <x:f>IF(P38&lt;&gt;"",TEXT(P38,"yyyy-mm"),"")</x:f>
      </x:c>
      <x:c r="S38" s="23" t="str">
        <x:f>IF(O38&lt;&gt;"",O38-TODAY(),"")</x:f>
      </x:c>
      <x:c r="T38" s="23" t="str">
        <x:f>IF(A38="","",IF(N38="","Falta fecha base",IF(G38="","Falta cultivo",IF(D38="","Falta unidad","OK"))))</x:f>
      </x:c>
      <x:c r="U38" s="23" t="str">
        <x:f>IF(CultivosSembrados!A38="","",CultivosSembrados!L38)</x:f>
      </x:c>
      <x:c r="V38" s="23" t="str">
        <x:f>IF(CultivosSembrados!A38="","",CultivosSembrados!M38)</x:f>
      </x:c>
    </x:row>
    <x:row r="39">
      <x:c r="A39" s="23" t="str">
        <x:f>IF(CultivosSembrados!A39="","",CultivosSembrados!A39)</x:f>
      </x:c>
      <x:c r="B39" s="23" t="str">
        <x:f>IF(CultivosSembrados!A39="","",CultivosSembrados!B39)</x:f>
      </x:c>
      <x:c r="C39" s="23" t="str">
        <x:f>IF(A39="","",IFERROR(VLOOKUP(B39,Fincas!A:B,2,FALSE),""))</x:f>
      </x:c>
      <x:c r="D39" s="23" t="str">
        <x:f>IF(CultivosSembrados!A39="","",CultivosSembrados!C39)</x:f>
      </x:c>
      <x:c r="E39" s="23" t="str">
        <x:f>IF(A39="","",IFERROR(VLOOKUP(D39,Unidades!A:B,2,FALSE),""))</x:f>
      </x:c>
      <x:c r="F39" s="23" t="str">
        <x:f>IF(A39="","",IFERROR(VLOOKUP(D39,Unidades!A:D,4,FALSE),""))</x:f>
      </x:c>
      <x:c r="G39" s="23" t="str">
        <x:f>IF(CultivosSembrados!A39="","",CultivosSembrados!D39)</x:f>
      </x:c>
      <x:c r="H39" s="23" t="str">
        <x:f>IF(A39="","",IFERROR(VLOOKUP(G39,CatalogoCultivos!A:B,2,FALSE),""))</x:f>
      </x:c>
      <x:c r="I39" s="23" t="str">
        <x:f>IF(A39="","",IFERROR(VLOOKUP(G39,CatalogoCultivos!A:C,3,FALSE),""))</x:f>
      </x:c>
      <x:c r="J39" s="23" t="str">
        <x:f>IF(CultivosSembrados!A39="","",CultivosSembrados!G39)</x:f>
      </x:c>
      <x:c r="K39" s="23" t="str">
        <x:f>IF(CultivosSembrados!A39="","",CultivosSembrados!H39)</x:f>
      </x:c>
      <x:c r="L39" s="23" t="str">
        <x:f>IF(A39="","",IFERROR(CultivosSembrados!E39,""))</x:f>
      </x:c>
      <x:c r="M39" s="23" t="str">
        <x:f>IF(A39="","",IFERROR(CultivosSembrados!F39,""))</x:f>
      </x:c>
      <x:c r="N39" s="23" t="str">
        <x:f>IF(A39="","",IFERROR(CultivosSembrados!I39,""))</x:f>
      </x:c>
      <x:c r="O39" s="23" t="str">
        <x:f>IF(A39="","",IFERROR(CultivosSembrados!J39,""))</x:f>
      </x:c>
      <x:c r="P39" s="23" t="str">
        <x:f>IF(A39="","",IFERROR(CultivosSembrados!K39,""))</x:f>
      </x:c>
      <x:c r="Q39" s="23" t="str">
        <x:f>IF(O39&lt;&gt;"",TEXT(O39,"yyyy-mm"),"")</x:f>
      </x:c>
      <x:c r="R39" s="23" t="str">
        <x:f>IF(P39&lt;&gt;"",TEXT(P39,"yyyy-mm"),"")</x:f>
      </x:c>
      <x:c r="S39" s="23" t="str">
        <x:f>IF(O39&lt;&gt;"",O39-TODAY(),"")</x:f>
      </x:c>
      <x:c r="T39" s="23" t="str">
        <x:f>IF(A39="","",IF(N39="","Falta fecha base",IF(G39="","Falta cultivo",IF(D39="","Falta unidad","OK"))))</x:f>
      </x:c>
      <x:c r="U39" s="23" t="str">
        <x:f>IF(CultivosSembrados!A39="","",CultivosSembrados!L39)</x:f>
      </x:c>
      <x:c r="V39" s="23" t="str">
        <x:f>IF(CultivosSembrados!A39="","",CultivosSembrados!M39)</x:f>
      </x:c>
    </x:row>
    <x:row r="40">
      <x:c r="A40" s="23" t="str">
        <x:f>IF(CultivosSembrados!A40="","",CultivosSembrados!A40)</x:f>
      </x:c>
      <x:c r="B40" s="23" t="str">
        <x:f>IF(CultivosSembrados!A40="","",CultivosSembrados!B40)</x:f>
      </x:c>
      <x:c r="C40" s="23" t="str">
        <x:f>IF(A40="","",IFERROR(VLOOKUP(B40,Fincas!A:B,2,FALSE),""))</x:f>
      </x:c>
      <x:c r="D40" s="23" t="str">
        <x:f>IF(CultivosSembrados!A40="","",CultivosSembrados!C40)</x:f>
      </x:c>
      <x:c r="E40" s="23" t="str">
        <x:f>IF(A40="","",IFERROR(VLOOKUP(D40,Unidades!A:B,2,FALSE),""))</x:f>
      </x:c>
      <x:c r="F40" s="23" t="str">
        <x:f>IF(A40="","",IFERROR(VLOOKUP(D40,Unidades!A:D,4,FALSE),""))</x:f>
      </x:c>
      <x:c r="G40" s="23" t="str">
        <x:f>IF(CultivosSembrados!A40="","",CultivosSembrados!D40)</x:f>
      </x:c>
      <x:c r="H40" s="23" t="str">
        <x:f>IF(A40="","",IFERROR(VLOOKUP(G40,CatalogoCultivos!A:B,2,FALSE),""))</x:f>
      </x:c>
      <x:c r="I40" s="23" t="str">
        <x:f>IF(A40="","",IFERROR(VLOOKUP(G40,CatalogoCultivos!A:C,3,FALSE),""))</x:f>
      </x:c>
      <x:c r="J40" s="23" t="str">
        <x:f>IF(CultivosSembrados!A40="","",CultivosSembrados!G40)</x:f>
      </x:c>
      <x:c r="K40" s="23" t="str">
        <x:f>IF(CultivosSembrados!A40="","",CultivosSembrados!H40)</x:f>
      </x:c>
      <x:c r="L40" s="23" t="str">
        <x:f>IF(A40="","",IFERROR(CultivosSembrados!E40,""))</x:f>
      </x:c>
      <x:c r="M40" s="23" t="str">
        <x:f>IF(A40="","",IFERROR(CultivosSembrados!F40,""))</x:f>
      </x:c>
      <x:c r="N40" s="23" t="str">
        <x:f>IF(A40="","",IFERROR(CultivosSembrados!I40,""))</x:f>
      </x:c>
      <x:c r="O40" s="23" t="str">
        <x:f>IF(A40="","",IFERROR(CultivosSembrados!J40,""))</x:f>
      </x:c>
      <x:c r="P40" s="23" t="str">
        <x:f>IF(A40="","",IFERROR(CultivosSembrados!K40,""))</x:f>
      </x:c>
      <x:c r="Q40" s="23" t="str">
        <x:f>IF(O40&lt;&gt;"",TEXT(O40,"yyyy-mm"),"")</x:f>
      </x:c>
      <x:c r="R40" s="23" t="str">
        <x:f>IF(P40&lt;&gt;"",TEXT(P40,"yyyy-mm"),"")</x:f>
      </x:c>
      <x:c r="S40" s="23" t="str">
        <x:f>IF(O40&lt;&gt;"",O40-TODAY(),"")</x:f>
      </x:c>
      <x:c r="T40" s="23" t="str">
        <x:f>IF(A40="","",IF(N40="","Falta fecha base",IF(G40="","Falta cultivo",IF(D40="","Falta unidad","OK"))))</x:f>
      </x:c>
      <x:c r="U40" s="23" t="str">
        <x:f>IF(CultivosSembrados!A40="","",CultivosSembrados!L40)</x:f>
      </x:c>
      <x:c r="V40" s="23" t="str">
        <x:f>IF(CultivosSembrados!A40="","",CultivosSembrados!M40)</x:f>
      </x:c>
    </x:row>
    <x:row r="41">
      <x:c r="A41" s="23" t="str">
        <x:f>IF(CultivosSembrados!A41="","",CultivosSembrados!A41)</x:f>
      </x:c>
      <x:c r="B41" s="23" t="str">
        <x:f>IF(CultivosSembrados!A41="","",CultivosSembrados!B41)</x:f>
      </x:c>
      <x:c r="C41" s="23" t="str">
        <x:f>IF(A41="","",IFERROR(VLOOKUP(B41,Fincas!A:B,2,FALSE),""))</x:f>
      </x:c>
      <x:c r="D41" s="23" t="str">
        <x:f>IF(CultivosSembrados!A41="","",CultivosSembrados!C41)</x:f>
      </x:c>
      <x:c r="E41" s="23" t="str">
        <x:f>IF(A41="","",IFERROR(VLOOKUP(D41,Unidades!A:B,2,FALSE),""))</x:f>
      </x:c>
      <x:c r="F41" s="23" t="str">
        <x:f>IF(A41="","",IFERROR(VLOOKUP(D41,Unidades!A:D,4,FALSE),""))</x:f>
      </x:c>
      <x:c r="G41" s="23" t="str">
        <x:f>IF(CultivosSembrados!A41="","",CultivosSembrados!D41)</x:f>
      </x:c>
      <x:c r="H41" s="23" t="str">
        <x:f>IF(A41="","",IFERROR(VLOOKUP(G41,CatalogoCultivos!A:B,2,FALSE),""))</x:f>
      </x:c>
      <x:c r="I41" s="23" t="str">
        <x:f>IF(A41="","",IFERROR(VLOOKUP(G41,CatalogoCultivos!A:C,3,FALSE),""))</x:f>
      </x:c>
      <x:c r="J41" s="23" t="str">
        <x:f>IF(CultivosSembrados!A41="","",CultivosSembrados!G41)</x:f>
      </x:c>
      <x:c r="K41" s="23" t="str">
        <x:f>IF(CultivosSembrados!A41="","",CultivosSembrados!H41)</x:f>
      </x:c>
      <x:c r="L41" s="23" t="str">
        <x:f>IF(A41="","",IFERROR(CultivosSembrados!E41,""))</x:f>
      </x:c>
      <x:c r="M41" s="23" t="str">
        <x:f>IF(A41="","",IFERROR(CultivosSembrados!F41,""))</x:f>
      </x:c>
      <x:c r="N41" s="23" t="str">
        <x:f>IF(A41="","",IFERROR(CultivosSembrados!I41,""))</x:f>
      </x:c>
      <x:c r="O41" s="23" t="str">
        <x:f>IF(A41="","",IFERROR(CultivosSembrados!J41,""))</x:f>
      </x:c>
      <x:c r="P41" s="23" t="str">
        <x:f>IF(A41="","",IFERROR(CultivosSembrados!K41,""))</x:f>
      </x:c>
      <x:c r="Q41" s="23" t="str">
        <x:f>IF(O41&lt;&gt;"",TEXT(O41,"yyyy-mm"),"")</x:f>
      </x:c>
      <x:c r="R41" s="23" t="str">
        <x:f>IF(P41&lt;&gt;"",TEXT(P41,"yyyy-mm"),"")</x:f>
      </x:c>
      <x:c r="S41" s="23" t="str">
        <x:f>IF(O41&lt;&gt;"",O41-TODAY(),"")</x:f>
      </x:c>
      <x:c r="T41" s="23" t="str">
        <x:f>IF(A41="","",IF(N41="","Falta fecha base",IF(G41="","Falta cultivo",IF(D41="","Falta unidad","OK"))))</x:f>
      </x:c>
      <x:c r="U41" s="23" t="str">
        <x:f>IF(CultivosSembrados!A41="","",CultivosSembrados!L41)</x:f>
      </x:c>
      <x:c r="V41" s="23" t="str">
        <x:f>IF(CultivosSembrados!A41="","",CultivosSembrados!M41)</x:f>
      </x:c>
    </x:row>
    <x:row r="42">
      <x:c r="A42" s="23" t="str">
        <x:f>IF(CultivosSembrados!A42="","",CultivosSembrados!A42)</x:f>
      </x:c>
      <x:c r="B42" s="23" t="str">
        <x:f>IF(CultivosSembrados!A42="","",CultivosSembrados!B42)</x:f>
      </x:c>
      <x:c r="C42" s="23" t="str">
        <x:f>IF(A42="","",IFERROR(VLOOKUP(B42,Fincas!A:B,2,FALSE),""))</x:f>
      </x:c>
      <x:c r="D42" s="23" t="str">
        <x:f>IF(CultivosSembrados!A42="","",CultivosSembrados!C42)</x:f>
      </x:c>
      <x:c r="E42" s="23" t="str">
        <x:f>IF(A42="","",IFERROR(VLOOKUP(D42,Unidades!A:B,2,FALSE),""))</x:f>
      </x:c>
      <x:c r="F42" s="23" t="str">
        <x:f>IF(A42="","",IFERROR(VLOOKUP(D42,Unidades!A:D,4,FALSE),""))</x:f>
      </x:c>
      <x:c r="G42" s="23" t="str">
        <x:f>IF(CultivosSembrados!A42="","",CultivosSembrados!D42)</x:f>
      </x:c>
      <x:c r="H42" s="23" t="str">
        <x:f>IF(A42="","",IFERROR(VLOOKUP(G42,CatalogoCultivos!A:B,2,FALSE),""))</x:f>
      </x:c>
      <x:c r="I42" s="23" t="str">
        <x:f>IF(A42="","",IFERROR(VLOOKUP(G42,CatalogoCultivos!A:C,3,FALSE),""))</x:f>
      </x:c>
      <x:c r="J42" s="23" t="str">
        <x:f>IF(CultivosSembrados!A42="","",CultivosSembrados!G42)</x:f>
      </x:c>
      <x:c r="K42" s="23" t="str">
        <x:f>IF(CultivosSembrados!A42="","",CultivosSembrados!H42)</x:f>
      </x:c>
      <x:c r="L42" s="23" t="str">
        <x:f>IF(A42="","",IFERROR(CultivosSembrados!E42,""))</x:f>
      </x:c>
      <x:c r="M42" s="23" t="str">
        <x:f>IF(A42="","",IFERROR(CultivosSembrados!F42,""))</x:f>
      </x:c>
      <x:c r="N42" s="23" t="str">
        <x:f>IF(A42="","",IFERROR(CultivosSembrados!I42,""))</x:f>
      </x:c>
      <x:c r="O42" s="23" t="str">
        <x:f>IF(A42="","",IFERROR(CultivosSembrados!J42,""))</x:f>
      </x:c>
      <x:c r="P42" s="23" t="str">
        <x:f>IF(A42="","",IFERROR(CultivosSembrados!K42,""))</x:f>
      </x:c>
      <x:c r="Q42" s="23" t="str">
        <x:f>IF(O42&lt;&gt;"",TEXT(O42,"yyyy-mm"),"")</x:f>
      </x:c>
      <x:c r="R42" s="23" t="str">
        <x:f>IF(P42&lt;&gt;"",TEXT(P42,"yyyy-mm"),"")</x:f>
      </x:c>
      <x:c r="S42" s="23" t="str">
        <x:f>IF(O42&lt;&gt;"",O42-TODAY(),"")</x:f>
      </x:c>
      <x:c r="T42" s="23" t="str">
        <x:f>IF(A42="","",IF(N42="","Falta fecha base",IF(G42="","Falta cultivo",IF(D42="","Falta unidad","OK"))))</x:f>
      </x:c>
      <x:c r="U42" s="23" t="str">
        <x:f>IF(CultivosSembrados!A42="","",CultivosSembrados!L42)</x:f>
      </x:c>
      <x:c r="V42" s="23" t="str">
        <x:f>IF(CultivosSembrados!A42="","",CultivosSembrados!M42)</x:f>
      </x:c>
    </x:row>
    <x:row r="43">
      <x:c r="A43" s="23" t="str">
        <x:f>IF(CultivosSembrados!A43="","",CultivosSembrados!A43)</x:f>
      </x:c>
      <x:c r="B43" s="23" t="str">
        <x:f>IF(CultivosSembrados!A43="","",CultivosSembrados!B43)</x:f>
      </x:c>
      <x:c r="C43" s="23" t="str">
        <x:f>IF(A43="","",IFERROR(VLOOKUP(B43,Fincas!A:B,2,FALSE),""))</x:f>
      </x:c>
      <x:c r="D43" s="23" t="str">
        <x:f>IF(CultivosSembrados!A43="","",CultivosSembrados!C43)</x:f>
      </x:c>
      <x:c r="E43" s="23" t="str">
        <x:f>IF(A43="","",IFERROR(VLOOKUP(D43,Unidades!A:B,2,FALSE),""))</x:f>
      </x:c>
      <x:c r="F43" s="23" t="str">
        <x:f>IF(A43="","",IFERROR(VLOOKUP(D43,Unidades!A:D,4,FALSE),""))</x:f>
      </x:c>
      <x:c r="G43" s="23" t="str">
        <x:f>IF(CultivosSembrados!A43="","",CultivosSembrados!D43)</x:f>
      </x:c>
      <x:c r="H43" s="23" t="str">
        <x:f>IF(A43="","",IFERROR(VLOOKUP(G43,CatalogoCultivos!A:B,2,FALSE),""))</x:f>
      </x:c>
      <x:c r="I43" s="23" t="str">
        <x:f>IF(A43="","",IFERROR(VLOOKUP(G43,CatalogoCultivos!A:C,3,FALSE),""))</x:f>
      </x:c>
      <x:c r="J43" s="23" t="str">
        <x:f>IF(CultivosSembrados!A43="","",CultivosSembrados!G43)</x:f>
      </x:c>
      <x:c r="K43" s="23" t="str">
        <x:f>IF(CultivosSembrados!A43="","",CultivosSembrados!H43)</x:f>
      </x:c>
      <x:c r="L43" s="23" t="str">
        <x:f>IF(A43="","",IFERROR(CultivosSembrados!E43,""))</x:f>
      </x:c>
      <x:c r="M43" s="23" t="str">
        <x:f>IF(A43="","",IFERROR(CultivosSembrados!F43,""))</x:f>
      </x:c>
      <x:c r="N43" s="23" t="str">
        <x:f>IF(A43="","",IFERROR(CultivosSembrados!I43,""))</x:f>
      </x:c>
      <x:c r="O43" s="23" t="str">
        <x:f>IF(A43="","",IFERROR(CultivosSembrados!J43,""))</x:f>
      </x:c>
      <x:c r="P43" s="23" t="str">
        <x:f>IF(A43="","",IFERROR(CultivosSembrados!K43,""))</x:f>
      </x:c>
      <x:c r="Q43" s="23" t="str">
        <x:f>IF(O43&lt;&gt;"",TEXT(O43,"yyyy-mm"),"")</x:f>
      </x:c>
      <x:c r="R43" s="23" t="str">
        <x:f>IF(P43&lt;&gt;"",TEXT(P43,"yyyy-mm"),"")</x:f>
      </x:c>
      <x:c r="S43" s="23" t="str">
        <x:f>IF(O43&lt;&gt;"",O43-TODAY(),"")</x:f>
      </x:c>
      <x:c r="T43" s="23" t="str">
        <x:f>IF(A43="","",IF(N43="","Falta fecha base",IF(G43="","Falta cultivo",IF(D43="","Falta unidad","OK"))))</x:f>
      </x:c>
      <x:c r="U43" s="23" t="str">
        <x:f>IF(CultivosSembrados!A43="","",CultivosSembrados!L43)</x:f>
      </x:c>
      <x:c r="V43" s="23" t="str">
        <x:f>IF(CultivosSembrados!A43="","",CultivosSembrados!M43)</x:f>
      </x:c>
    </x:row>
    <x:row r="44">
      <x:c r="A44" s="23" t="str">
        <x:f>IF(CultivosSembrados!A44="","",CultivosSembrados!A44)</x:f>
      </x:c>
      <x:c r="B44" s="23" t="str">
        <x:f>IF(CultivosSembrados!A44="","",CultivosSembrados!B44)</x:f>
      </x:c>
      <x:c r="C44" s="23" t="str">
        <x:f>IF(A44="","",IFERROR(VLOOKUP(B44,Fincas!A:B,2,FALSE),""))</x:f>
      </x:c>
      <x:c r="D44" s="23" t="str">
        <x:f>IF(CultivosSembrados!A44="","",CultivosSembrados!C44)</x:f>
      </x:c>
      <x:c r="E44" s="23" t="str">
        <x:f>IF(A44="","",IFERROR(VLOOKUP(D44,Unidades!A:B,2,FALSE),""))</x:f>
      </x:c>
      <x:c r="F44" s="23" t="str">
        <x:f>IF(A44="","",IFERROR(VLOOKUP(D44,Unidades!A:D,4,FALSE),""))</x:f>
      </x:c>
      <x:c r="G44" s="23" t="str">
        <x:f>IF(CultivosSembrados!A44="","",CultivosSembrados!D44)</x:f>
      </x:c>
      <x:c r="H44" s="23" t="str">
        <x:f>IF(A44="","",IFERROR(VLOOKUP(G44,CatalogoCultivos!A:B,2,FALSE),""))</x:f>
      </x:c>
      <x:c r="I44" s="23" t="str">
        <x:f>IF(A44="","",IFERROR(VLOOKUP(G44,CatalogoCultivos!A:C,3,FALSE),""))</x:f>
      </x:c>
      <x:c r="J44" s="23" t="str">
        <x:f>IF(CultivosSembrados!A44="","",CultivosSembrados!G44)</x:f>
      </x:c>
      <x:c r="K44" s="23" t="str">
        <x:f>IF(CultivosSembrados!A44="","",CultivosSembrados!H44)</x:f>
      </x:c>
      <x:c r="L44" s="23" t="str">
        <x:f>IF(A44="","",IFERROR(CultivosSembrados!E44,""))</x:f>
      </x:c>
      <x:c r="M44" s="23" t="str">
        <x:f>IF(A44="","",IFERROR(CultivosSembrados!F44,""))</x:f>
      </x:c>
      <x:c r="N44" s="23" t="str">
        <x:f>IF(A44="","",IFERROR(CultivosSembrados!I44,""))</x:f>
      </x:c>
      <x:c r="O44" s="23" t="str">
        <x:f>IF(A44="","",IFERROR(CultivosSembrados!J44,""))</x:f>
      </x:c>
      <x:c r="P44" s="23" t="str">
        <x:f>IF(A44="","",IFERROR(CultivosSembrados!K44,""))</x:f>
      </x:c>
      <x:c r="Q44" s="23" t="str">
        <x:f>IF(O44&lt;&gt;"",TEXT(O44,"yyyy-mm"),"")</x:f>
      </x:c>
      <x:c r="R44" s="23" t="str">
        <x:f>IF(P44&lt;&gt;"",TEXT(P44,"yyyy-mm"),"")</x:f>
      </x:c>
      <x:c r="S44" s="23" t="str">
        <x:f>IF(O44&lt;&gt;"",O44-TODAY(),"")</x:f>
      </x:c>
      <x:c r="T44" s="23" t="str">
        <x:f>IF(A44="","",IF(N44="","Falta fecha base",IF(G44="","Falta cultivo",IF(D44="","Falta unidad","OK"))))</x:f>
      </x:c>
      <x:c r="U44" s="23" t="str">
        <x:f>IF(CultivosSembrados!A44="","",CultivosSembrados!L44)</x:f>
      </x:c>
      <x:c r="V44" s="23" t="str">
        <x:f>IF(CultivosSembrados!A44="","",CultivosSembrados!M44)</x:f>
      </x:c>
    </x:row>
    <x:row r="45">
      <x:c r="A45" s="23" t="str">
        <x:f>IF(CultivosSembrados!A45="","",CultivosSembrados!A45)</x:f>
      </x:c>
      <x:c r="B45" s="23" t="str">
        <x:f>IF(CultivosSembrados!A45="","",CultivosSembrados!B45)</x:f>
      </x:c>
      <x:c r="C45" s="23" t="str">
        <x:f>IF(A45="","",IFERROR(VLOOKUP(B45,Fincas!A:B,2,FALSE),""))</x:f>
      </x:c>
      <x:c r="D45" s="23" t="str">
        <x:f>IF(CultivosSembrados!A45="","",CultivosSembrados!C45)</x:f>
      </x:c>
      <x:c r="E45" s="23" t="str">
        <x:f>IF(A45="","",IFERROR(VLOOKUP(D45,Unidades!A:B,2,FALSE),""))</x:f>
      </x:c>
      <x:c r="F45" s="23" t="str">
        <x:f>IF(A45="","",IFERROR(VLOOKUP(D45,Unidades!A:D,4,FALSE),""))</x:f>
      </x:c>
      <x:c r="G45" s="23" t="str">
        <x:f>IF(CultivosSembrados!A45="","",CultivosSembrados!D45)</x:f>
      </x:c>
      <x:c r="H45" s="23" t="str">
        <x:f>IF(A45="","",IFERROR(VLOOKUP(G45,CatalogoCultivos!A:B,2,FALSE),""))</x:f>
      </x:c>
      <x:c r="I45" s="23" t="str">
        <x:f>IF(A45="","",IFERROR(VLOOKUP(G45,CatalogoCultivos!A:C,3,FALSE),""))</x:f>
      </x:c>
      <x:c r="J45" s="23" t="str">
        <x:f>IF(CultivosSembrados!A45="","",CultivosSembrados!G45)</x:f>
      </x:c>
      <x:c r="K45" s="23" t="str">
        <x:f>IF(CultivosSembrados!A45="","",CultivosSembrados!H45)</x:f>
      </x:c>
      <x:c r="L45" s="23" t="str">
        <x:f>IF(A45="","",IFERROR(CultivosSembrados!E45,""))</x:f>
      </x:c>
      <x:c r="M45" s="23" t="str">
        <x:f>IF(A45="","",IFERROR(CultivosSembrados!F45,""))</x:f>
      </x:c>
      <x:c r="N45" s="23" t="str">
        <x:f>IF(A45="","",IFERROR(CultivosSembrados!I45,""))</x:f>
      </x:c>
      <x:c r="O45" s="23" t="str">
        <x:f>IF(A45="","",IFERROR(CultivosSembrados!J45,""))</x:f>
      </x:c>
      <x:c r="P45" s="23" t="str">
        <x:f>IF(A45="","",IFERROR(CultivosSembrados!K45,""))</x:f>
      </x:c>
      <x:c r="Q45" s="23" t="str">
        <x:f>IF(O45&lt;&gt;"",TEXT(O45,"yyyy-mm"),"")</x:f>
      </x:c>
      <x:c r="R45" s="23" t="str">
        <x:f>IF(P45&lt;&gt;"",TEXT(P45,"yyyy-mm"),"")</x:f>
      </x:c>
      <x:c r="S45" s="23" t="str">
        <x:f>IF(O45&lt;&gt;"",O45-TODAY(),"")</x:f>
      </x:c>
      <x:c r="T45" s="23" t="str">
        <x:f>IF(A45="","",IF(N45="","Falta fecha base",IF(G45="","Falta cultivo",IF(D45="","Falta unidad","OK"))))</x:f>
      </x:c>
      <x:c r="U45" s="23" t="str">
        <x:f>IF(CultivosSembrados!A45="","",CultivosSembrados!L45)</x:f>
      </x:c>
      <x:c r="V45" s="23" t="str">
        <x:f>IF(CultivosSembrados!A45="","",CultivosSembrados!M45)</x:f>
      </x:c>
    </x:row>
    <x:row r="46">
      <x:c r="A46" s="23" t="str">
        <x:f>IF(CultivosSembrados!A46="","",CultivosSembrados!A46)</x:f>
      </x:c>
      <x:c r="B46" s="23" t="str">
        <x:f>IF(CultivosSembrados!A46="","",CultivosSembrados!B46)</x:f>
      </x:c>
      <x:c r="C46" s="23" t="str">
        <x:f>IF(A46="","",IFERROR(VLOOKUP(B46,Fincas!A:B,2,FALSE),""))</x:f>
      </x:c>
      <x:c r="D46" s="23" t="str">
        <x:f>IF(CultivosSembrados!A46="","",CultivosSembrados!C46)</x:f>
      </x:c>
      <x:c r="E46" s="23" t="str">
        <x:f>IF(A46="","",IFERROR(VLOOKUP(D46,Unidades!A:B,2,FALSE),""))</x:f>
      </x:c>
      <x:c r="F46" s="23" t="str">
        <x:f>IF(A46="","",IFERROR(VLOOKUP(D46,Unidades!A:D,4,FALSE),""))</x:f>
      </x:c>
      <x:c r="G46" s="23" t="str">
        <x:f>IF(CultivosSembrados!A46="","",CultivosSembrados!D46)</x:f>
      </x:c>
      <x:c r="H46" s="23" t="str">
        <x:f>IF(A46="","",IFERROR(VLOOKUP(G46,CatalogoCultivos!A:B,2,FALSE),""))</x:f>
      </x:c>
      <x:c r="I46" s="23" t="str">
        <x:f>IF(A46="","",IFERROR(VLOOKUP(G46,CatalogoCultivos!A:C,3,FALSE),""))</x:f>
      </x:c>
      <x:c r="J46" s="23" t="str">
        <x:f>IF(CultivosSembrados!A46="","",CultivosSembrados!G46)</x:f>
      </x:c>
      <x:c r="K46" s="23" t="str">
        <x:f>IF(CultivosSembrados!A46="","",CultivosSembrados!H46)</x:f>
      </x:c>
      <x:c r="L46" s="23" t="str">
        <x:f>IF(A46="","",IFERROR(CultivosSembrados!E46,""))</x:f>
      </x:c>
      <x:c r="M46" s="23" t="str">
        <x:f>IF(A46="","",IFERROR(CultivosSembrados!F46,""))</x:f>
      </x:c>
      <x:c r="N46" s="23" t="str">
        <x:f>IF(A46="","",IFERROR(CultivosSembrados!I46,""))</x:f>
      </x:c>
      <x:c r="O46" s="23" t="str">
        <x:f>IF(A46="","",IFERROR(CultivosSembrados!J46,""))</x:f>
      </x:c>
      <x:c r="P46" s="23" t="str">
        <x:f>IF(A46="","",IFERROR(CultivosSembrados!K46,""))</x:f>
      </x:c>
      <x:c r="Q46" s="23" t="str">
        <x:f>IF(O46&lt;&gt;"",TEXT(O46,"yyyy-mm"),"")</x:f>
      </x:c>
      <x:c r="R46" s="23" t="str">
        <x:f>IF(P46&lt;&gt;"",TEXT(P46,"yyyy-mm"),"")</x:f>
      </x:c>
      <x:c r="S46" s="23" t="str">
        <x:f>IF(O46&lt;&gt;"",O46-TODAY(),"")</x:f>
      </x:c>
      <x:c r="T46" s="23" t="str">
        <x:f>IF(A46="","",IF(N46="","Falta fecha base",IF(G46="","Falta cultivo",IF(D46="","Falta unidad","OK"))))</x:f>
      </x:c>
      <x:c r="U46" s="23" t="str">
        <x:f>IF(CultivosSembrados!A46="","",CultivosSembrados!L46)</x:f>
      </x:c>
      <x:c r="V46" s="23" t="str">
        <x:f>IF(CultivosSembrados!A46="","",CultivosSembrados!M46)</x:f>
      </x:c>
    </x:row>
    <x:row r="47">
      <x:c r="A47" s="23" t="str">
        <x:f>IF(CultivosSembrados!A47="","",CultivosSembrados!A47)</x:f>
      </x:c>
      <x:c r="B47" s="23" t="str">
        <x:f>IF(CultivosSembrados!A47="","",CultivosSembrados!B47)</x:f>
      </x:c>
      <x:c r="C47" s="23" t="str">
        <x:f>IF(A47="","",IFERROR(VLOOKUP(B47,Fincas!A:B,2,FALSE),""))</x:f>
      </x:c>
      <x:c r="D47" s="23" t="str">
        <x:f>IF(CultivosSembrados!A47="","",CultivosSembrados!C47)</x:f>
      </x:c>
      <x:c r="E47" s="23" t="str">
        <x:f>IF(A47="","",IFERROR(VLOOKUP(D47,Unidades!A:B,2,FALSE),""))</x:f>
      </x:c>
      <x:c r="F47" s="23" t="str">
        <x:f>IF(A47="","",IFERROR(VLOOKUP(D47,Unidades!A:D,4,FALSE),""))</x:f>
      </x:c>
      <x:c r="G47" s="23" t="str">
        <x:f>IF(CultivosSembrados!A47="","",CultivosSembrados!D47)</x:f>
      </x:c>
      <x:c r="H47" s="23" t="str">
        <x:f>IF(A47="","",IFERROR(VLOOKUP(G47,CatalogoCultivos!A:B,2,FALSE),""))</x:f>
      </x:c>
      <x:c r="I47" s="23" t="str">
        <x:f>IF(A47="","",IFERROR(VLOOKUP(G47,CatalogoCultivos!A:C,3,FALSE),""))</x:f>
      </x:c>
      <x:c r="J47" s="23" t="str">
        <x:f>IF(CultivosSembrados!A47="","",CultivosSembrados!G47)</x:f>
      </x:c>
      <x:c r="K47" s="23" t="str">
        <x:f>IF(CultivosSembrados!A47="","",CultivosSembrados!H47)</x:f>
      </x:c>
      <x:c r="L47" s="23" t="str">
        <x:f>IF(A47="","",IFERROR(CultivosSembrados!E47,""))</x:f>
      </x:c>
      <x:c r="M47" s="23" t="str">
        <x:f>IF(A47="","",IFERROR(CultivosSembrados!F47,""))</x:f>
      </x:c>
      <x:c r="N47" s="23" t="str">
        <x:f>IF(A47="","",IFERROR(CultivosSembrados!I47,""))</x:f>
      </x:c>
      <x:c r="O47" s="23" t="str">
        <x:f>IF(A47="","",IFERROR(CultivosSembrados!J47,""))</x:f>
      </x:c>
      <x:c r="P47" s="23" t="str">
        <x:f>IF(A47="","",IFERROR(CultivosSembrados!K47,""))</x:f>
      </x:c>
      <x:c r="Q47" s="23" t="str">
        <x:f>IF(O47&lt;&gt;"",TEXT(O47,"yyyy-mm"),"")</x:f>
      </x:c>
      <x:c r="R47" s="23" t="str">
        <x:f>IF(P47&lt;&gt;"",TEXT(P47,"yyyy-mm"),"")</x:f>
      </x:c>
      <x:c r="S47" s="23" t="str">
        <x:f>IF(O47&lt;&gt;"",O47-TODAY(),"")</x:f>
      </x:c>
      <x:c r="T47" s="23" t="str">
        <x:f>IF(A47="","",IF(N47="","Falta fecha base",IF(G47="","Falta cultivo",IF(D47="","Falta unidad","OK"))))</x:f>
      </x:c>
      <x:c r="U47" s="23" t="str">
        <x:f>IF(CultivosSembrados!A47="","",CultivosSembrados!L47)</x:f>
      </x:c>
      <x:c r="V47" s="23" t="str">
        <x:f>IF(CultivosSembrados!A47="","",CultivosSembrados!M47)</x:f>
      </x:c>
    </x:row>
    <x:row r="48">
      <x:c r="A48" s="23" t="str">
        <x:f>IF(CultivosSembrados!A48="","",CultivosSembrados!A48)</x:f>
      </x:c>
      <x:c r="B48" s="23" t="str">
        <x:f>IF(CultivosSembrados!A48="","",CultivosSembrados!B48)</x:f>
      </x:c>
      <x:c r="C48" s="23" t="str">
        <x:f>IF(A48="","",IFERROR(VLOOKUP(B48,Fincas!A:B,2,FALSE),""))</x:f>
      </x:c>
      <x:c r="D48" s="23" t="str">
        <x:f>IF(CultivosSembrados!A48="","",CultivosSembrados!C48)</x:f>
      </x:c>
      <x:c r="E48" s="23" t="str">
        <x:f>IF(A48="","",IFERROR(VLOOKUP(D48,Unidades!A:B,2,FALSE),""))</x:f>
      </x:c>
      <x:c r="F48" s="23" t="str">
        <x:f>IF(A48="","",IFERROR(VLOOKUP(D48,Unidades!A:D,4,FALSE),""))</x:f>
      </x:c>
      <x:c r="G48" s="23" t="str">
        <x:f>IF(CultivosSembrados!A48="","",CultivosSembrados!D48)</x:f>
      </x:c>
      <x:c r="H48" s="23" t="str">
        <x:f>IF(A48="","",IFERROR(VLOOKUP(G48,CatalogoCultivos!A:B,2,FALSE),""))</x:f>
      </x:c>
      <x:c r="I48" s="23" t="str">
        <x:f>IF(A48="","",IFERROR(VLOOKUP(G48,CatalogoCultivos!A:C,3,FALSE),""))</x:f>
      </x:c>
      <x:c r="J48" s="23" t="str">
        <x:f>IF(CultivosSembrados!A48="","",CultivosSembrados!G48)</x:f>
      </x:c>
      <x:c r="K48" s="23" t="str">
        <x:f>IF(CultivosSembrados!A48="","",CultivosSembrados!H48)</x:f>
      </x:c>
      <x:c r="L48" s="23" t="str">
        <x:f>IF(A48="","",IFERROR(CultivosSembrados!E48,""))</x:f>
      </x:c>
      <x:c r="M48" s="23" t="str">
        <x:f>IF(A48="","",IFERROR(CultivosSembrados!F48,""))</x:f>
      </x:c>
      <x:c r="N48" s="23" t="str">
        <x:f>IF(A48="","",IFERROR(CultivosSembrados!I48,""))</x:f>
      </x:c>
      <x:c r="O48" s="23" t="str">
        <x:f>IF(A48="","",IFERROR(CultivosSembrados!J48,""))</x:f>
      </x:c>
      <x:c r="P48" s="23" t="str">
        <x:f>IF(A48="","",IFERROR(CultivosSembrados!K48,""))</x:f>
      </x:c>
      <x:c r="Q48" s="23" t="str">
        <x:f>IF(O48&lt;&gt;"",TEXT(O48,"yyyy-mm"),"")</x:f>
      </x:c>
      <x:c r="R48" s="23" t="str">
        <x:f>IF(P48&lt;&gt;"",TEXT(P48,"yyyy-mm"),"")</x:f>
      </x:c>
      <x:c r="S48" s="23" t="str">
        <x:f>IF(O48&lt;&gt;"",O48-TODAY(),"")</x:f>
      </x:c>
      <x:c r="T48" s="23" t="str">
        <x:f>IF(A48="","",IF(N48="","Falta fecha base",IF(G48="","Falta cultivo",IF(D48="","Falta unidad","OK"))))</x:f>
      </x:c>
      <x:c r="U48" s="23" t="str">
        <x:f>IF(CultivosSembrados!A48="","",CultivosSembrados!L48)</x:f>
      </x:c>
      <x:c r="V48" s="23" t="str">
        <x:f>IF(CultivosSembrados!A48="","",CultivosSembrados!M48)</x:f>
      </x:c>
    </x:row>
    <x:row r="49">
      <x:c r="A49" s="23" t="str">
        <x:f>IF(CultivosSembrados!A49="","",CultivosSembrados!A49)</x:f>
      </x:c>
      <x:c r="B49" s="23" t="str">
        <x:f>IF(CultivosSembrados!A49="","",CultivosSembrados!B49)</x:f>
      </x:c>
      <x:c r="C49" s="23" t="str">
        <x:f>IF(A49="","",IFERROR(VLOOKUP(B49,Fincas!A:B,2,FALSE),""))</x:f>
      </x:c>
      <x:c r="D49" s="23" t="str">
        <x:f>IF(CultivosSembrados!A49="","",CultivosSembrados!C49)</x:f>
      </x:c>
      <x:c r="E49" s="23" t="str">
        <x:f>IF(A49="","",IFERROR(VLOOKUP(D49,Unidades!A:B,2,FALSE),""))</x:f>
      </x:c>
      <x:c r="F49" s="23" t="str">
        <x:f>IF(A49="","",IFERROR(VLOOKUP(D49,Unidades!A:D,4,FALSE),""))</x:f>
      </x:c>
      <x:c r="G49" s="23" t="str">
        <x:f>IF(CultivosSembrados!A49="","",CultivosSembrados!D49)</x:f>
      </x:c>
      <x:c r="H49" s="23" t="str">
        <x:f>IF(A49="","",IFERROR(VLOOKUP(G49,CatalogoCultivos!A:B,2,FALSE),""))</x:f>
      </x:c>
      <x:c r="I49" s="23" t="str">
        <x:f>IF(A49="","",IFERROR(VLOOKUP(G49,CatalogoCultivos!A:C,3,FALSE),""))</x:f>
      </x:c>
      <x:c r="J49" s="23" t="str">
        <x:f>IF(CultivosSembrados!A49="","",CultivosSembrados!G49)</x:f>
      </x:c>
      <x:c r="K49" s="23" t="str">
        <x:f>IF(CultivosSembrados!A49="","",CultivosSembrados!H49)</x:f>
      </x:c>
      <x:c r="L49" s="23" t="str">
        <x:f>IF(A49="","",IFERROR(CultivosSembrados!E49,""))</x:f>
      </x:c>
      <x:c r="M49" s="23" t="str">
        <x:f>IF(A49="","",IFERROR(CultivosSembrados!F49,""))</x:f>
      </x:c>
      <x:c r="N49" s="23" t="str">
        <x:f>IF(A49="","",IFERROR(CultivosSembrados!I49,""))</x:f>
      </x:c>
      <x:c r="O49" s="23" t="str">
        <x:f>IF(A49="","",IFERROR(CultivosSembrados!J49,""))</x:f>
      </x:c>
      <x:c r="P49" s="23" t="str">
        <x:f>IF(A49="","",IFERROR(CultivosSembrados!K49,""))</x:f>
      </x:c>
      <x:c r="Q49" s="23" t="str">
        <x:f>IF(O49&lt;&gt;"",TEXT(O49,"yyyy-mm"),"")</x:f>
      </x:c>
      <x:c r="R49" s="23" t="str">
        <x:f>IF(P49&lt;&gt;"",TEXT(P49,"yyyy-mm"),"")</x:f>
      </x:c>
      <x:c r="S49" s="23" t="str">
        <x:f>IF(O49&lt;&gt;"",O49-TODAY(),"")</x:f>
      </x:c>
      <x:c r="T49" s="23" t="str">
        <x:f>IF(A49="","",IF(N49="","Falta fecha base",IF(G49="","Falta cultivo",IF(D49="","Falta unidad","OK"))))</x:f>
      </x:c>
      <x:c r="U49" s="23" t="str">
        <x:f>IF(CultivosSembrados!A49="","",CultivosSembrados!L49)</x:f>
      </x:c>
      <x:c r="V49" s="23" t="str">
        <x:f>IF(CultivosSembrados!A49="","",CultivosSembrados!M49)</x:f>
      </x:c>
    </x:row>
    <x:row r="50">
      <x:c r="A50" s="23" t="str">
        <x:f>IF(CultivosSembrados!A50="","",CultivosSembrados!A50)</x:f>
      </x:c>
      <x:c r="B50" s="23" t="str">
        <x:f>IF(CultivosSembrados!A50="","",CultivosSembrados!B50)</x:f>
      </x:c>
      <x:c r="C50" s="23" t="str">
        <x:f>IF(A50="","",IFERROR(VLOOKUP(B50,Fincas!A:B,2,FALSE),""))</x:f>
      </x:c>
      <x:c r="D50" s="23" t="str">
        <x:f>IF(CultivosSembrados!A50="","",CultivosSembrados!C50)</x:f>
      </x:c>
      <x:c r="E50" s="23" t="str">
        <x:f>IF(A50="","",IFERROR(VLOOKUP(D50,Unidades!A:B,2,FALSE),""))</x:f>
      </x:c>
      <x:c r="F50" s="23" t="str">
        <x:f>IF(A50="","",IFERROR(VLOOKUP(D50,Unidades!A:D,4,FALSE),""))</x:f>
      </x:c>
      <x:c r="G50" s="23" t="str">
        <x:f>IF(CultivosSembrados!A50="","",CultivosSembrados!D50)</x:f>
      </x:c>
      <x:c r="H50" s="23" t="str">
        <x:f>IF(A50="","",IFERROR(VLOOKUP(G50,CatalogoCultivos!A:B,2,FALSE),""))</x:f>
      </x:c>
      <x:c r="I50" s="23" t="str">
        <x:f>IF(A50="","",IFERROR(VLOOKUP(G50,CatalogoCultivos!A:C,3,FALSE),""))</x:f>
      </x:c>
      <x:c r="J50" s="23" t="str">
        <x:f>IF(CultivosSembrados!A50="","",CultivosSembrados!G50)</x:f>
      </x:c>
      <x:c r="K50" s="23" t="str">
        <x:f>IF(CultivosSembrados!A50="","",CultivosSembrados!H50)</x:f>
      </x:c>
      <x:c r="L50" s="23" t="str">
        <x:f>IF(A50="","",IFERROR(CultivosSembrados!E50,""))</x:f>
      </x:c>
      <x:c r="M50" s="23" t="str">
        <x:f>IF(A50="","",IFERROR(CultivosSembrados!F50,""))</x:f>
      </x:c>
      <x:c r="N50" s="23" t="str">
        <x:f>IF(A50="","",IFERROR(CultivosSembrados!I50,""))</x:f>
      </x:c>
      <x:c r="O50" s="23" t="str">
        <x:f>IF(A50="","",IFERROR(CultivosSembrados!J50,""))</x:f>
      </x:c>
      <x:c r="P50" s="23" t="str">
        <x:f>IF(A50="","",IFERROR(CultivosSembrados!K50,""))</x:f>
      </x:c>
      <x:c r="Q50" s="23" t="str">
        <x:f>IF(O50&lt;&gt;"",TEXT(O50,"yyyy-mm"),"")</x:f>
      </x:c>
      <x:c r="R50" s="23" t="str">
        <x:f>IF(P50&lt;&gt;"",TEXT(P50,"yyyy-mm"),"")</x:f>
      </x:c>
      <x:c r="S50" s="23" t="str">
        <x:f>IF(O50&lt;&gt;"",O50-TODAY(),"")</x:f>
      </x:c>
      <x:c r="T50" s="23" t="str">
        <x:f>IF(A50="","",IF(N50="","Falta fecha base",IF(G50="","Falta cultivo",IF(D50="","Falta unidad","OK"))))</x:f>
      </x:c>
      <x:c r="U50" s="23" t="str">
        <x:f>IF(CultivosSembrados!A50="","",CultivosSembrados!L50)</x:f>
      </x:c>
      <x:c r="V50" s="23" t="str">
        <x:f>IF(CultivosSembrados!A50="","",CultivosSembrados!M50)</x:f>
      </x:c>
    </x:row>
    <x:row r="51">
      <x:c r="A51" s="23" t="str">
        <x:f>IF(CultivosSembrados!A51="","",CultivosSembrados!A51)</x:f>
      </x:c>
      <x:c r="B51" s="23" t="str">
        <x:f>IF(CultivosSembrados!A51="","",CultivosSembrados!B51)</x:f>
      </x:c>
      <x:c r="C51" s="23" t="str">
        <x:f>IF(A51="","",IFERROR(VLOOKUP(B51,Fincas!A:B,2,FALSE),""))</x:f>
      </x:c>
      <x:c r="D51" s="23" t="str">
        <x:f>IF(CultivosSembrados!A51="","",CultivosSembrados!C51)</x:f>
      </x:c>
      <x:c r="E51" s="23" t="str">
        <x:f>IF(A51="","",IFERROR(VLOOKUP(D51,Unidades!A:B,2,FALSE),""))</x:f>
      </x:c>
      <x:c r="F51" s="23" t="str">
        <x:f>IF(A51="","",IFERROR(VLOOKUP(D51,Unidades!A:D,4,FALSE),""))</x:f>
      </x:c>
      <x:c r="G51" s="23" t="str">
        <x:f>IF(CultivosSembrados!A51="","",CultivosSembrados!D51)</x:f>
      </x:c>
      <x:c r="H51" s="23" t="str">
        <x:f>IF(A51="","",IFERROR(VLOOKUP(G51,CatalogoCultivos!A:B,2,FALSE),""))</x:f>
      </x:c>
      <x:c r="I51" s="23" t="str">
        <x:f>IF(A51="","",IFERROR(VLOOKUP(G51,CatalogoCultivos!A:C,3,FALSE),""))</x:f>
      </x:c>
      <x:c r="J51" s="23" t="str">
        <x:f>IF(CultivosSembrados!A51="","",CultivosSembrados!G51)</x:f>
      </x:c>
      <x:c r="K51" s="23" t="str">
        <x:f>IF(CultivosSembrados!A51="","",CultivosSembrados!H51)</x:f>
      </x:c>
      <x:c r="L51" s="23" t="str">
        <x:f>IF(A51="","",IFERROR(CultivosSembrados!E51,""))</x:f>
      </x:c>
      <x:c r="M51" s="23" t="str">
        <x:f>IF(A51="","",IFERROR(CultivosSembrados!F51,""))</x:f>
      </x:c>
      <x:c r="N51" s="23" t="str">
        <x:f>IF(A51="","",IFERROR(CultivosSembrados!I51,""))</x:f>
      </x:c>
      <x:c r="O51" s="23" t="str">
        <x:f>IF(A51="","",IFERROR(CultivosSembrados!J51,""))</x:f>
      </x:c>
      <x:c r="P51" s="23" t="str">
        <x:f>IF(A51="","",IFERROR(CultivosSembrados!K51,""))</x:f>
      </x:c>
      <x:c r="Q51" s="23" t="str">
        <x:f>IF(O51&lt;&gt;"",TEXT(O51,"yyyy-mm"),"")</x:f>
      </x:c>
      <x:c r="R51" s="23" t="str">
        <x:f>IF(P51&lt;&gt;"",TEXT(P51,"yyyy-mm"),"")</x:f>
      </x:c>
      <x:c r="S51" s="23" t="str">
        <x:f>IF(O51&lt;&gt;"",O51-TODAY(),"")</x:f>
      </x:c>
      <x:c r="T51" s="23" t="str">
        <x:f>IF(A51="","",IF(N51="","Falta fecha base",IF(G51="","Falta cultivo",IF(D51="","Falta unidad","OK"))))</x:f>
      </x:c>
      <x:c r="U51" s="23" t="str">
        <x:f>IF(CultivosSembrados!A51="","",CultivosSembrados!L51)</x:f>
      </x:c>
      <x:c r="V51" s="23" t="str">
        <x:f>IF(CultivosSembrados!A51="","",CultivosSembrados!M51)</x:f>
      </x:c>
    </x:row>
    <x:row r="52">
      <x:c r="A52" s="23" t="str">
        <x:f>IF(CultivosSembrados!A52="","",CultivosSembrados!A52)</x:f>
      </x:c>
      <x:c r="B52" s="23" t="str">
        <x:f>IF(CultivosSembrados!A52="","",CultivosSembrados!B52)</x:f>
      </x:c>
      <x:c r="C52" s="23" t="str">
        <x:f>IF(A52="","",IFERROR(VLOOKUP(B52,Fincas!A:B,2,FALSE),""))</x:f>
      </x:c>
      <x:c r="D52" s="23" t="str">
        <x:f>IF(CultivosSembrados!A52="","",CultivosSembrados!C52)</x:f>
      </x:c>
      <x:c r="E52" s="23" t="str">
        <x:f>IF(A52="","",IFERROR(VLOOKUP(D52,Unidades!A:B,2,FALSE),""))</x:f>
      </x:c>
      <x:c r="F52" s="23" t="str">
        <x:f>IF(A52="","",IFERROR(VLOOKUP(D52,Unidades!A:D,4,FALSE),""))</x:f>
      </x:c>
      <x:c r="G52" s="23" t="str">
        <x:f>IF(CultivosSembrados!A52="","",CultivosSembrados!D52)</x:f>
      </x:c>
      <x:c r="H52" s="23" t="str">
        <x:f>IF(A52="","",IFERROR(VLOOKUP(G52,CatalogoCultivos!A:B,2,FALSE),""))</x:f>
      </x:c>
      <x:c r="I52" s="23" t="str">
        <x:f>IF(A52="","",IFERROR(VLOOKUP(G52,CatalogoCultivos!A:C,3,FALSE),""))</x:f>
      </x:c>
      <x:c r="J52" s="23" t="str">
        <x:f>IF(CultivosSembrados!A52="","",CultivosSembrados!G52)</x:f>
      </x:c>
      <x:c r="K52" s="23" t="str">
        <x:f>IF(CultivosSembrados!A52="","",CultivosSembrados!H52)</x:f>
      </x:c>
      <x:c r="L52" s="23" t="str">
        <x:f>IF(A52="","",IFERROR(CultivosSembrados!E52,""))</x:f>
      </x:c>
      <x:c r="M52" s="23" t="str">
        <x:f>IF(A52="","",IFERROR(CultivosSembrados!F52,""))</x:f>
      </x:c>
      <x:c r="N52" s="23" t="str">
        <x:f>IF(A52="","",IFERROR(CultivosSembrados!I52,""))</x:f>
      </x:c>
      <x:c r="O52" s="23" t="str">
        <x:f>IF(A52="","",IFERROR(CultivosSembrados!J52,""))</x:f>
      </x:c>
      <x:c r="P52" s="23" t="str">
        <x:f>IF(A52="","",IFERROR(CultivosSembrados!K52,""))</x:f>
      </x:c>
      <x:c r="Q52" s="23" t="str">
        <x:f>IF(O52&lt;&gt;"",TEXT(O52,"yyyy-mm"),"")</x:f>
      </x:c>
      <x:c r="R52" s="23" t="str">
        <x:f>IF(P52&lt;&gt;"",TEXT(P52,"yyyy-mm"),"")</x:f>
      </x:c>
      <x:c r="S52" s="23" t="str">
        <x:f>IF(O52&lt;&gt;"",O52-TODAY(),"")</x:f>
      </x:c>
      <x:c r="T52" s="23" t="str">
        <x:f>IF(A52="","",IF(N52="","Falta fecha base",IF(G52="","Falta cultivo",IF(D52="","Falta unidad","OK"))))</x:f>
      </x:c>
      <x:c r="U52" s="23" t="str">
        <x:f>IF(CultivosSembrados!A52="","",CultivosSembrados!L52)</x:f>
      </x:c>
      <x:c r="V52" s="23" t="str">
        <x:f>IF(CultivosSembrados!A52="","",CultivosSembrados!M52)</x:f>
      </x:c>
    </x:row>
    <x:row r="53">
      <x:c r="A53" s="23" t="str">
        <x:f>IF(CultivosSembrados!A53="","",CultivosSembrados!A53)</x:f>
      </x:c>
      <x:c r="B53" s="23" t="str">
        <x:f>IF(CultivosSembrados!A53="","",CultivosSembrados!B53)</x:f>
      </x:c>
      <x:c r="C53" s="23" t="str">
        <x:f>IF(A53="","",IFERROR(VLOOKUP(B53,Fincas!A:B,2,FALSE),""))</x:f>
      </x:c>
      <x:c r="D53" s="23" t="str">
        <x:f>IF(CultivosSembrados!A53="","",CultivosSembrados!C53)</x:f>
      </x:c>
      <x:c r="E53" s="23" t="str">
        <x:f>IF(A53="","",IFERROR(VLOOKUP(D53,Unidades!A:B,2,FALSE),""))</x:f>
      </x:c>
      <x:c r="F53" s="23" t="str">
        <x:f>IF(A53="","",IFERROR(VLOOKUP(D53,Unidades!A:D,4,FALSE),""))</x:f>
      </x:c>
      <x:c r="G53" s="23" t="str">
        <x:f>IF(CultivosSembrados!A53="","",CultivosSembrados!D53)</x:f>
      </x:c>
      <x:c r="H53" s="23" t="str">
        <x:f>IF(A53="","",IFERROR(VLOOKUP(G53,CatalogoCultivos!A:B,2,FALSE),""))</x:f>
      </x:c>
      <x:c r="I53" s="23" t="str">
        <x:f>IF(A53="","",IFERROR(VLOOKUP(G53,CatalogoCultivos!A:C,3,FALSE),""))</x:f>
      </x:c>
      <x:c r="J53" s="23" t="str">
        <x:f>IF(CultivosSembrados!A53="","",CultivosSembrados!G53)</x:f>
      </x:c>
      <x:c r="K53" s="23" t="str">
        <x:f>IF(CultivosSembrados!A53="","",CultivosSembrados!H53)</x:f>
      </x:c>
      <x:c r="L53" s="23" t="str">
        <x:f>IF(A53="","",IFERROR(CultivosSembrados!E53,""))</x:f>
      </x:c>
      <x:c r="M53" s="23" t="str">
        <x:f>IF(A53="","",IFERROR(CultivosSembrados!F53,""))</x:f>
      </x:c>
      <x:c r="N53" s="23" t="str">
        <x:f>IF(A53="","",IFERROR(CultivosSembrados!I53,""))</x:f>
      </x:c>
      <x:c r="O53" s="23" t="str">
        <x:f>IF(A53="","",IFERROR(CultivosSembrados!J53,""))</x:f>
      </x:c>
      <x:c r="P53" s="23" t="str">
        <x:f>IF(A53="","",IFERROR(CultivosSembrados!K53,""))</x:f>
      </x:c>
      <x:c r="Q53" s="23" t="str">
        <x:f>IF(O53&lt;&gt;"",TEXT(O53,"yyyy-mm"),"")</x:f>
      </x:c>
      <x:c r="R53" s="23" t="str">
        <x:f>IF(P53&lt;&gt;"",TEXT(P53,"yyyy-mm"),"")</x:f>
      </x:c>
      <x:c r="S53" s="23" t="str">
        <x:f>IF(O53&lt;&gt;"",O53-TODAY(),"")</x:f>
      </x:c>
      <x:c r="T53" s="23" t="str">
        <x:f>IF(A53="","",IF(N53="","Falta fecha base",IF(G53="","Falta cultivo",IF(D53="","Falta unidad","OK"))))</x:f>
      </x:c>
      <x:c r="U53" s="23" t="str">
        <x:f>IF(CultivosSembrados!A53="","",CultivosSembrados!L53)</x:f>
      </x:c>
      <x:c r="V53" s="23" t="str">
        <x:f>IF(CultivosSembrados!A53="","",CultivosSembrados!M53)</x:f>
      </x:c>
    </x:row>
    <x:row r="54">
      <x:c r="A54" s="23" t="str">
        <x:f>IF(CultivosSembrados!A54="","",CultivosSembrados!A54)</x:f>
      </x:c>
      <x:c r="B54" s="23" t="str">
        <x:f>IF(CultivosSembrados!A54="","",CultivosSembrados!B54)</x:f>
      </x:c>
      <x:c r="C54" s="23" t="str">
        <x:f>IF(A54="","",IFERROR(VLOOKUP(B54,Fincas!A:B,2,FALSE),""))</x:f>
      </x:c>
      <x:c r="D54" s="23" t="str">
        <x:f>IF(CultivosSembrados!A54="","",CultivosSembrados!C54)</x:f>
      </x:c>
      <x:c r="E54" s="23" t="str">
        <x:f>IF(A54="","",IFERROR(VLOOKUP(D54,Unidades!A:B,2,FALSE),""))</x:f>
      </x:c>
      <x:c r="F54" s="23" t="str">
        <x:f>IF(A54="","",IFERROR(VLOOKUP(D54,Unidades!A:D,4,FALSE),""))</x:f>
      </x:c>
      <x:c r="G54" s="23" t="str">
        <x:f>IF(CultivosSembrados!A54="","",CultivosSembrados!D54)</x:f>
      </x:c>
      <x:c r="H54" s="23" t="str">
        <x:f>IF(A54="","",IFERROR(VLOOKUP(G54,CatalogoCultivos!A:B,2,FALSE),""))</x:f>
      </x:c>
      <x:c r="I54" s="23" t="str">
        <x:f>IF(A54="","",IFERROR(VLOOKUP(G54,CatalogoCultivos!A:C,3,FALSE),""))</x:f>
      </x:c>
      <x:c r="J54" s="23" t="str">
        <x:f>IF(CultivosSembrados!A54="","",CultivosSembrados!G54)</x:f>
      </x:c>
      <x:c r="K54" s="23" t="str">
        <x:f>IF(CultivosSembrados!A54="","",CultivosSembrados!H54)</x:f>
      </x:c>
      <x:c r="L54" s="23" t="str">
        <x:f>IF(A54="","",IFERROR(CultivosSembrados!E54,""))</x:f>
      </x:c>
      <x:c r="M54" s="23" t="str">
        <x:f>IF(A54="","",IFERROR(CultivosSembrados!F54,""))</x:f>
      </x:c>
      <x:c r="N54" s="23" t="str">
        <x:f>IF(A54="","",IFERROR(CultivosSembrados!I54,""))</x:f>
      </x:c>
      <x:c r="O54" s="23" t="str">
        <x:f>IF(A54="","",IFERROR(CultivosSembrados!J54,""))</x:f>
      </x:c>
      <x:c r="P54" s="23" t="str">
        <x:f>IF(A54="","",IFERROR(CultivosSembrados!K54,""))</x:f>
      </x:c>
      <x:c r="Q54" s="23" t="str">
        <x:f>IF(O54&lt;&gt;"",TEXT(O54,"yyyy-mm"),"")</x:f>
      </x:c>
      <x:c r="R54" s="23" t="str">
        <x:f>IF(P54&lt;&gt;"",TEXT(P54,"yyyy-mm"),"")</x:f>
      </x:c>
      <x:c r="S54" s="23" t="str">
        <x:f>IF(O54&lt;&gt;"",O54-TODAY(),"")</x:f>
      </x:c>
      <x:c r="T54" s="23" t="str">
        <x:f>IF(A54="","",IF(N54="","Falta fecha base",IF(G54="","Falta cultivo",IF(D54="","Falta unidad","OK"))))</x:f>
      </x:c>
      <x:c r="U54" s="23" t="str">
        <x:f>IF(CultivosSembrados!A54="","",CultivosSembrados!L54)</x:f>
      </x:c>
      <x:c r="V54" s="23" t="str">
        <x:f>IF(CultivosSembrados!A54="","",CultivosSembrados!M54)</x:f>
      </x:c>
    </x:row>
    <x:row r="55">
      <x:c r="A55" s="23" t="str">
        <x:f>IF(CultivosSembrados!A55="","",CultivosSembrados!A55)</x:f>
      </x:c>
      <x:c r="B55" s="23" t="str">
        <x:f>IF(CultivosSembrados!A55="","",CultivosSembrados!B55)</x:f>
      </x:c>
      <x:c r="C55" s="23" t="str">
        <x:f>IF(A55="","",IFERROR(VLOOKUP(B55,Fincas!A:B,2,FALSE),""))</x:f>
      </x:c>
      <x:c r="D55" s="23" t="str">
        <x:f>IF(CultivosSembrados!A55="","",CultivosSembrados!C55)</x:f>
      </x:c>
      <x:c r="E55" s="23" t="str">
        <x:f>IF(A55="","",IFERROR(VLOOKUP(D55,Unidades!A:B,2,FALSE),""))</x:f>
      </x:c>
      <x:c r="F55" s="23" t="str">
        <x:f>IF(A55="","",IFERROR(VLOOKUP(D55,Unidades!A:D,4,FALSE),""))</x:f>
      </x:c>
      <x:c r="G55" s="23" t="str">
        <x:f>IF(CultivosSembrados!A55="","",CultivosSembrados!D55)</x:f>
      </x:c>
      <x:c r="H55" s="23" t="str">
        <x:f>IF(A55="","",IFERROR(VLOOKUP(G55,CatalogoCultivos!A:B,2,FALSE),""))</x:f>
      </x:c>
      <x:c r="I55" s="23" t="str">
        <x:f>IF(A55="","",IFERROR(VLOOKUP(G55,CatalogoCultivos!A:C,3,FALSE),""))</x:f>
      </x:c>
      <x:c r="J55" s="23" t="str">
        <x:f>IF(CultivosSembrados!A55="","",CultivosSembrados!G55)</x:f>
      </x:c>
      <x:c r="K55" s="23" t="str">
        <x:f>IF(CultivosSembrados!A55="","",CultivosSembrados!H55)</x:f>
      </x:c>
      <x:c r="L55" s="23" t="str">
        <x:f>IF(A55="","",IFERROR(CultivosSembrados!E55,""))</x:f>
      </x:c>
      <x:c r="M55" s="23" t="str">
        <x:f>IF(A55="","",IFERROR(CultivosSembrados!F55,""))</x:f>
      </x:c>
      <x:c r="N55" s="23" t="str">
        <x:f>IF(A55="","",IFERROR(CultivosSembrados!I55,""))</x:f>
      </x:c>
      <x:c r="O55" s="23" t="str">
        <x:f>IF(A55="","",IFERROR(CultivosSembrados!J55,""))</x:f>
      </x:c>
      <x:c r="P55" s="23" t="str">
        <x:f>IF(A55="","",IFERROR(CultivosSembrados!K55,""))</x:f>
      </x:c>
      <x:c r="Q55" s="23" t="str">
        <x:f>IF(O55&lt;&gt;"",TEXT(O55,"yyyy-mm"),"")</x:f>
      </x:c>
      <x:c r="R55" s="23" t="str">
        <x:f>IF(P55&lt;&gt;"",TEXT(P55,"yyyy-mm"),"")</x:f>
      </x:c>
      <x:c r="S55" s="23" t="str">
        <x:f>IF(O55&lt;&gt;"",O55-TODAY(),"")</x:f>
      </x:c>
      <x:c r="T55" s="23" t="str">
        <x:f>IF(A55="","",IF(N55="","Falta fecha base",IF(G55="","Falta cultivo",IF(D55="","Falta unidad","OK"))))</x:f>
      </x:c>
      <x:c r="U55" s="23" t="str">
        <x:f>IF(CultivosSembrados!A55="","",CultivosSembrados!L55)</x:f>
      </x:c>
      <x:c r="V55" s="23" t="str">
        <x:f>IF(CultivosSembrados!A55="","",CultivosSembrados!M55)</x:f>
      </x:c>
    </x:row>
    <x:row r="56">
      <x:c r="A56" s="23" t="str">
        <x:f>IF(CultivosSembrados!A56="","",CultivosSembrados!A56)</x:f>
      </x:c>
      <x:c r="B56" s="23" t="str">
        <x:f>IF(CultivosSembrados!A56="","",CultivosSembrados!B56)</x:f>
      </x:c>
      <x:c r="C56" s="23" t="str">
        <x:f>IF(A56="","",IFERROR(VLOOKUP(B56,Fincas!A:B,2,FALSE),""))</x:f>
      </x:c>
      <x:c r="D56" s="23" t="str">
        <x:f>IF(CultivosSembrados!A56="","",CultivosSembrados!C56)</x:f>
      </x:c>
      <x:c r="E56" s="23" t="str">
        <x:f>IF(A56="","",IFERROR(VLOOKUP(D56,Unidades!A:B,2,FALSE),""))</x:f>
      </x:c>
      <x:c r="F56" s="23" t="str">
        <x:f>IF(A56="","",IFERROR(VLOOKUP(D56,Unidades!A:D,4,FALSE),""))</x:f>
      </x:c>
      <x:c r="G56" s="23" t="str">
        <x:f>IF(CultivosSembrados!A56="","",CultivosSembrados!D56)</x:f>
      </x:c>
      <x:c r="H56" s="23" t="str">
        <x:f>IF(A56="","",IFERROR(VLOOKUP(G56,CatalogoCultivos!A:B,2,FALSE),""))</x:f>
      </x:c>
      <x:c r="I56" s="23" t="str">
        <x:f>IF(A56="","",IFERROR(VLOOKUP(G56,CatalogoCultivos!A:C,3,FALSE),""))</x:f>
      </x:c>
      <x:c r="J56" s="23" t="str">
        <x:f>IF(CultivosSembrados!A56="","",CultivosSembrados!G56)</x:f>
      </x:c>
      <x:c r="K56" s="23" t="str">
        <x:f>IF(CultivosSembrados!A56="","",CultivosSembrados!H56)</x:f>
      </x:c>
      <x:c r="L56" s="23" t="str">
        <x:f>IF(A56="","",IFERROR(CultivosSembrados!E56,""))</x:f>
      </x:c>
      <x:c r="M56" s="23" t="str">
        <x:f>IF(A56="","",IFERROR(CultivosSembrados!F56,""))</x:f>
      </x:c>
      <x:c r="N56" s="23" t="str">
        <x:f>IF(A56="","",IFERROR(CultivosSembrados!I56,""))</x:f>
      </x:c>
      <x:c r="O56" s="23" t="str">
        <x:f>IF(A56="","",IFERROR(CultivosSembrados!J56,""))</x:f>
      </x:c>
      <x:c r="P56" s="23" t="str">
        <x:f>IF(A56="","",IFERROR(CultivosSembrados!K56,""))</x:f>
      </x:c>
      <x:c r="Q56" s="23" t="str">
        <x:f>IF(O56&lt;&gt;"",TEXT(O56,"yyyy-mm"),"")</x:f>
      </x:c>
      <x:c r="R56" s="23" t="str">
        <x:f>IF(P56&lt;&gt;"",TEXT(P56,"yyyy-mm"),"")</x:f>
      </x:c>
      <x:c r="S56" s="23" t="str">
        <x:f>IF(O56&lt;&gt;"",O56-TODAY(),"")</x:f>
      </x:c>
      <x:c r="T56" s="23" t="str">
        <x:f>IF(A56="","",IF(N56="","Falta fecha base",IF(G56="","Falta cultivo",IF(D56="","Falta unidad","OK"))))</x:f>
      </x:c>
      <x:c r="U56" s="23" t="str">
        <x:f>IF(CultivosSembrados!A56="","",CultivosSembrados!L56)</x:f>
      </x:c>
      <x:c r="V56" s="23" t="str">
        <x:f>IF(CultivosSembrados!A56="","",CultivosSembrados!M56)</x:f>
      </x:c>
    </x:row>
    <x:row r="57">
      <x:c r="A57" s="23" t="str">
        <x:f>IF(CultivosSembrados!A57="","",CultivosSembrados!A57)</x:f>
      </x:c>
      <x:c r="B57" s="23" t="str">
        <x:f>IF(CultivosSembrados!A57="","",CultivosSembrados!B57)</x:f>
      </x:c>
      <x:c r="C57" s="23" t="str">
        <x:f>IF(A57="","",IFERROR(VLOOKUP(B57,Fincas!A:B,2,FALSE),""))</x:f>
      </x:c>
      <x:c r="D57" s="23" t="str">
        <x:f>IF(CultivosSembrados!A57="","",CultivosSembrados!C57)</x:f>
      </x:c>
      <x:c r="E57" s="23" t="str">
        <x:f>IF(A57="","",IFERROR(VLOOKUP(D57,Unidades!A:B,2,FALSE),""))</x:f>
      </x:c>
      <x:c r="F57" s="23" t="str">
        <x:f>IF(A57="","",IFERROR(VLOOKUP(D57,Unidades!A:D,4,FALSE),""))</x:f>
      </x:c>
      <x:c r="G57" s="23" t="str">
        <x:f>IF(CultivosSembrados!A57="","",CultivosSembrados!D57)</x:f>
      </x:c>
      <x:c r="H57" s="23" t="str">
        <x:f>IF(A57="","",IFERROR(VLOOKUP(G57,CatalogoCultivos!A:B,2,FALSE),""))</x:f>
      </x:c>
      <x:c r="I57" s="23" t="str">
        <x:f>IF(A57="","",IFERROR(VLOOKUP(G57,CatalogoCultivos!A:C,3,FALSE),""))</x:f>
      </x:c>
      <x:c r="J57" s="23" t="str">
        <x:f>IF(CultivosSembrados!A57="","",CultivosSembrados!G57)</x:f>
      </x:c>
      <x:c r="K57" s="23" t="str">
        <x:f>IF(CultivosSembrados!A57="","",CultivosSembrados!H57)</x:f>
      </x:c>
      <x:c r="L57" s="23" t="str">
        <x:f>IF(A57="","",IFERROR(CultivosSembrados!E57,""))</x:f>
      </x:c>
      <x:c r="M57" s="23" t="str">
        <x:f>IF(A57="","",IFERROR(CultivosSembrados!F57,""))</x:f>
      </x:c>
      <x:c r="N57" s="23" t="str">
        <x:f>IF(A57="","",IFERROR(CultivosSembrados!I57,""))</x:f>
      </x:c>
      <x:c r="O57" s="23" t="str">
        <x:f>IF(A57="","",IFERROR(CultivosSembrados!J57,""))</x:f>
      </x:c>
      <x:c r="P57" s="23" t="str">
        <x:f>IF(A57="","",IFERROR(CultivosSembrados!K57,""))</x:f>
      </x:c>
      <x:c r="Q57" s="23" t="str">
        <x:f>IF(O57&lt;&gt;"",TEXT(O57,"yyyy-mm"),"")</x:f>
      </x:c>
      <x:c r="R57" s="23" t="str">
        <x:f>IF(P57&lt;&gt;"",TEXT(P57,"yyyy-mm"),"")</x:f>
      </x:c>
      <x:c r="S57" s="23" t="str">
        <x:f>IF(O57&lt;&gt;"",O57-TODAY(),"")</x:f>
      </x:c>
      <x:c r="T57" s="23" t="str">
        <x:f>IF(A57="","",IF(N57="","Falta fecha base",IF(G57="","Falta cultivo",IF(D57="","Falta unidad","OK"))))</x:f>
      </x:c>
      <x:c r="U57" s="23" t="str">
        <x:f>IF(CultivosSembrados!A57="","",CultivosSembrados!L57)</x:f>
      </x:c>
      <x:c r="V57" s="23" t="str">
        <x:f>IF(CultivosSembrados!A57="","",CultivosSembrados!M57)</x:f>
      </x:c>
    </x:row>
    <x:row r="58">
      <x:c r="A58" s="23" t="str">
        <x:f>IF(CultivosSembrados!A58="","",CultivosSembrados!A58)</x:f>
      </x:c>
      <x:c r="B58" s="23" t="str">
        <x:f>IF(CultivosSembrados!A58="","",CultivosSembrados!B58)</x:f>
      </x:c>
      <x:c r="C58" s="23" t="str">
        <x:f>IF(A58="","",IFERROR(VLOOKUP(B58,Fincas!A:B,2,FALSE),""))</x:f>
      </x:c>
      <x:c r="D58" s="23" t="str">
        <x:f>IF(CultivosSembrados!A58="","",CultivosSembrados!C58)</x:f>
      </x:c>
      <x:c r="E58" s="23" t="str">
        <x:f>IF(A58="","",IFERROR(VLOOKUP(D58,Unidades!A:B,2,FALSE),""))</x:f>
      </x:c>
      <x:c r="F58" s="23" t="str">
        <x:f>IF(A58="","",IFERROR(VLOOKUP(D58,Unidades!A:D,4,FALSE),""))</x:f>
      </x:c>
      <x:c r="G58" s="23" t="str">
        <x:f>IF(CultivosSembrados!A58="","",CultivosSembrados!D58)</x:f>
      </x:c>
      <x:c r="H58" s="23" t="str">
        <x:f>IF(A58="","",IFERROR(VLOOKUP(G58,CatalogoCultivos!A:B,2,FALSE),""))</x:f>
      </x:c>
      <x:c r="I58" s="23" t="str">
        <x:f>IF(A58="","",IFERROR(VLOOKUP(G58,CatalogoCultivos!A:C,3,FALSE),""))</x:f>
      </x:c>
      <x:c r="J58" s="23" t="str">
        <x:f>IF(CultivosSembrados!A58="","",CultivosSembrados!G58)</x:f>
      </x:c>
      <x:c r="K58" s="23" t="str">
        <x:f>IF(CultivosSembrados!A58="","",CultivosSembrados!H58)</x:f>
      </x:c>
      <x:c r="L58" s="23" t="str">
        <x:f>IF(A58="","",IFERROR(CultivosSembrados!E58,""))</x:f>
      </x:c>
      <x:c r="M58" s="23" t="str">
        <x:f>IF(A58="","",IFERROR(CultivosSembrados!F58,""))</x:f>
      </x:c>
      <x:c r="N58" s="23" t="str">
        <x:f>IF(A58="","",IFERROR(CultivosSembrados!I58,""))</x:f>
      </x:c>
      <x:c r="O58" s="23" t="str">
        <x:f>IF(A58="","",IFERROR(CultivosSembrados!J58,""))</x:f>
      </x:c>
      <x:c r="P58" s="23" t="str">
        <x:f>IF(A58="","",IFERROR(CultivosSembrados!K58,""))</x:f>
      </x:c>
      <x:c r="Q58" s="23" t="str">
        <x:f>IF(O58&lt;&gt;"",TEXT(O58,"yyyy-mm"),"")</x:f>
      </x:c>
      <x:c r="R58" s="23" t="str">
        <x:f>IF(P58&lt;&gt;"",TEXT(P58,"yyyy-mm"),"")</x:f>
      </x:c>
      <x:c r="S58" s="23" t="str">
        <x:f>IF(O58&lt;&gt;"",O58-TODAY(),"")</x:f>
      </x:c>
      <x:c r="T58" s="23" t="str">
        <x:f>IF(A58="","",IF(N58="","Falta fecha base",IF(G58="","Falta cultivo",IF(D58="","Falta unidad","OK"))))</x:f>
      </x:c>
      <x:c r="U58" s="23" t="str">
        <x:f>IF(CultivosSembrados!A58="","",CultivosSembrados!L58)</x:f>
      </x:c>
      <x:c r="V58" s="23" t="str">
        <x:f>IF(CultivosSembrados!A58="","",CultivosSembrados!M58)</x:f>
      </x:c>
    </x:row>
    <x:row r="59">
      <x:c r="A59" s="23" t="str">
        <x:f>IF(CultivosSembrados!A59="","",CultivosSembrados!A59)</x:f>
      </x:c>
      <x:c r="B59" s="23" t="str">
        <x:f>IF(CultivosSembrados!A59="","",CultivosSembrados!B59)</x:f>
      </x:c>
      <x:c r="C59" s="23" t="str">
        <x:f>IF(A59="","",IFERROR(VLOOKUP(B59,Fincas!A:B,2,FALSE),""))</x:f>
      </x:c>
      <x:c r="D59" s="23" t="str">
        <x:f>IF(CultivosSembrados!A59="","",CultivosSembrados!C59)</x:f>
      </x:c>
      <x:c r="E59" s="23" t="str">
        <x:f>IF(A59="","",IFERROR(VLOOKUP(D59,Unidades!A:B,2,FALSE),""))</x:f>
      </x:c>
      <x:c r="F59" s="23" t="str">
        <x:f>IF(A59="","",IFERROR(VLOOKUP(D59,Unidades!A:D,4,FALSE),""))</x:f>
      </x:c>
      <x:c r="G59" s="23" t="str">
        <x:f>IF(CultivosSembrados!A59="","",CultivosSembrados!D59)</x:f>
      </x:c>
      <x:c r="H59" s="23" t="str">
        <x:f>IF(A59="","",IFERROR(VLOOKUP(G59,CatalogoCultivos!A:B,2,FALSE),""))</x:f>
      </x:c>
      <x:c r="I59" s="23" t="str">
        <x:f>IF(A59="","",IFERROR(VLOOKUP(G59,CatalogoCultivos!A:C,3,FALSE),""))</x:f>
      </x:c>
      <x:c r="J59" s="23" t="str">
        <x:f>IF(CultivosSembrados!A59="","",CultivosSembrados!G59)</x:f>
      </x:c>
      <x:c r="K59" s="23" t="str">
        <x:f>IF(CultivosSembrados!A59="","",CultivosSembrados!H59)</x:f>
      </x:c>
      <x:c r="L59" s="23" t="str">
        <x:f>IF(A59="","",IFERROR(CultivosSembrados!E59,""))</x:f>
      </x:c>
      <x:c r="M59" s="23" t="str">
        <x:f>IF(A59="","",IFERROR(CultivosSembrados!F59,""))</x:f>
      </x:c>
      <x:c r="N59" s="23" t="str">
        <x:f>IF(A59="","",IFERROR(CultivosSembrados!I59,""))</x:f>
      </x:c>
      <x:c r="O59" s="23" t="str">
        <x:f>IF(A59="","",IFERROR(CultivosSembrados!J59,""))</x:f>
      </x:c>
      <x:c r="P59" s="23" t="str">
        <x:f>IF(A59="","",IFERROR(CultivosSembrados!K59,""))</x:f>
      </x:c>
      <x:c r="Q59" s="23" t="str">
        <x:f>IF(O59&lt;&gt;"",TEXT(O59,"yyyy-mm"),"")</x:f>
      </x:c>
      <x:c r="R59" s="23" t="str">
        <x:f>IF(P59&lt;&gt;"",TEXT(P59,"yyyy-mm"),"")</x:f>
      </x:c>
      <x:c r="S59" s="23" t="str">
        <x:f>IF(O59&lt;&gt;"",O59-TODAY(),"")</x:f>
      </x:c>
      <x:c r="T59" s="23" t="str">
        <x:f>IF(A59="","",IF(N59="","Falta fecha base",IF(G59="","Falta cultivo",IF(D59="","Falta unidad","OK"))))</x:f>
      </x:c>
      <x:c r="U59" s="23" t="str">
        <x:f>IF(CultivosSembrados!A59="","",CultivosSembrados!L59)</x:f>
      </x:c>
      <x:c r="V59" s="23" t="str">
        <x:f>IF(CultivosSembrados!A59="","",CultivosSembrados!M59)</x:f>
      </x:c>
    </x:row>
    <x:row r="60">
      <x:c r="A60" s="23" t="str">
        <x:f>IF(CultivosSembrados!A60="","",CultivosSembrados!A60)</x:f>
      </x:c>
      <x:c r="B60" s="23" t="str">
        <x:f>IF(CultivosSembrados!A60="","",CultivosSembrados!B60)</x:f>
      </x:c>
      <x:c r="C60" s="23" t="str">
        <x:f>IF(A60="","",IFERROR(VLOOKUP(B60,Fincas!A:B,2,FALSE),""))</x:f>
      </x:c>
      <x:c r="D60" s="23" t="str">
        <x:f>IF(CultivosSembrados!A60="","",CultivosSembrados!C60)</x:f>
      </x:c>
      <x:c r="E60" s="23" t="str">
        <x:f>IF(A60="","",IFERROR(VLOOKUP(D60,Unidades!A:B,2,FALSE),""))</x:f>
      </x:c>
      <x:c r="F60" s="23" t="str">
        <x:f>IF(A60="","",IFERROR(VLOOKUP(D60,Unidades!A:D,4,FALSE),""))</x:f>
      </x:c>
      <x:c r="G60" s="23" t="str">
        <x:f>IF(CultivosSembrados!A60="","",CultivosSembrados!D60)</x:f>
      </x:c>
      <x:c r="H60" s="23" t="str">
        <x:f>IF(A60="","",IFERROR(VLOOKUP(G60,CatalogoCultivos!A:B,2,FALSE),""))</x:f>
      </x:c>
      <x:c r="I60" s="23" t="str">
        <x:f>IF(A60="","",IFERROR(VLOOKUP(G60,CatalogoCultivos!A:C,3,FALSE),""))</x:f>
      </x:c>
      <x:c r="J60" s="23" t="str">
        <x:f>IF(CultivosSembrados!A60="","",CultivosSembrados!G60)</x:f>
      </x:c>
      <x:c r="K60" s="23" t="str">
        <x:f>IF(CultivosSembrados!A60="","",CultivosSembrados!H60)</x:f>
      </x:c>
      <x:c r="L60" s="23" t="str">
        <x:f>IF(A60="","",IFERROR(CultivosSembrados!E60,""))</x:f>
      </x:c>
      <x:c r="M60" s="23" t="str">
        <x:f>IF(A60="","",IFERROR(CultivosSembrados!F60,""))</x:f>
      </x:c>
      <x:c r="N60" s="23" t="str">
        <x:f>IF(A60="","",IFERROR(CultivosSembrados!I60,""))</x:f>
      </x:c>
      <x:c r="O60" s="23" t="str">
        <x:f>IF(A60="","",IFERROR(CultivosSembrados!J60,""))</x:f>
      </x:c>
      <x:c r="P60" s="23" t="str">
        <x:f>IF(A60="","",IFERROR(CultivosSembrados!K60,""))</x:f>
      </x:c>
      <x:c r="Q60" s="23" t="str">
        <x:f>IF(O60&lt;&gt;"",TEXT(O60,"yyyy-mm"),"")</x:f>
      </x:c>
      <x:c r="R60" s="23" t="str">
        <x:f>IF(P60&lt;&gt;"",TEXT(P60,"yyyy-mm"),"")</x:f>
      </x:c>
      <x:c r="S60" s="23" t="str">
        <x:f>IF(O60&lt;&gt;"",O60-TODAY(),"")</x:f>
      </x:c>
      <x:c r="T60" s="23" t="str">
        <x:f>IF(A60="","",IF(N60="","Falta fecha base",IF(G60="","Falta cultivo",IF(D60="","Falta unidad","OK"))))</x:f>
      </x:c>
      <x:c r="U60" s="23" t="str">
        <x:f>IF(CultivosSembrados!A60="","",CultivosSembrados!L60)</x:f>
      </x:c>
      <x:c r="V60" s="23" t="str">
        <x:f>IF(CultivosSembrados!A60="","",CultivosSembrados!M60)</x:f>
      </x:c>
    </x:row>
    <x:row r="61">
      <x:c r="A61" s="23" t="str">
        <x:f>IF(CultivosSembrados!A61="","",CultivosSembrados!A61)</x:f>
      </x:c>
      <x:c r="B61" s="23" t="str">
        <x:f>IF(CultivosSembrados!A61="","",CultivosSembrados!B61)</x:f>
      </x:c>
      <x:c r="C61" s="23" t="str">
        <x:f>IF(A61="","",IFERROR(VLOOKUP(B61,Fincas!A:B,2,FALSE),""))</x:f>
      </x:c>
      <x:c r="D61" s="23" t="str">
        <x:f>IF(CultivosSembrados!A61="","",CultivosSembrados!C61)</x:f>
      </x:c>
      <x:c r="E61" s="23" t="str">
        <x:f>IF(A61="","",IFERROR(VLOOKUP(D61,Unidades!A:B,2,FALSE),""))</x:f>
      </x:c>
      <x:c r="F61" s="23" t="str">
        <x:f>IF(A61="","",IFERROR(VLOOKUP(D61,Unidades!A:D,4,FALSE),""))</x:f>
      </x:c>
      <x:c r="G61" s="23" t="str">
        <x:f>IF(CultivosSembrados!A61="","",CultivosSembrados!D61)</x:f>
      </x:c>
      <x:c r="H61" s="23" t="str">
        <x:f>IF(A61="","",IFERROR(VLOOKUP(G61,CatalogoCultivos!A:B,2,FALSE),""))</x:f>
      </x:c>
      <x:c r="I61" s="23" t="str">
        <x:f>IF(A61="","",IFERROR(VLOOKUP(G61,CatalogoCultivos!A:C,3,FALSE),""))</x:f>
      </x:c>
      <x:c r="J61" s="23" t="str">
        <x:f>IF(CultivosSembrados!A61="","",CultivosSembrados!G61)</x:f>
      </x:c>
      <x:c r="K61" s="23" t="str">
        <x:f>IF(CultivosSembrados!A61="","",CultivosSembrados!H61)</x:f>
      </x:c>
      <x:c r="L61" s="23" t="str">
        <x:f>IF(A61="","",IFERROR(CultivosSembrados!E61,""))</x:f>
      </x:c>
      <x:c r="M61" s="23" t="str">
        <x:f>IF(A61="","",IFERROR(CultivosSembrados!F61,""))</x:f>
      </x:c>
      <x:c r="N61" s="23" t="str">
        <x:f>IF(A61="","",IFERROR(CultivosSembrados!I61,""))</x:f>
      </x:c>
      <x:c r="O61" s="23" t="str">
        <x:f>IF(A61="","",IFERROR(CultivosSembrados!J61,""))</x:f>
      </x:c>
      <x:c r="P61" s="23" t="str">
        <x:f>IF(A61="","",IFERROR(CultivosSembrados!K61,""))</x:f>
      </x:c>
      <x:c r="Q61" s="23" t="str">
        <x:f>IF(O61&lt;&gt;"",TEXT(O61,"yyyy-mm"),"")</x:f>
      </x:c>
      <x:c r="R61" s="23" t="str">
        <x:f>IF(P61&lt;&gt;"",TEXT(P61,"yyyy-mm"),"")</x:f>
      </x:c>
      <x:c r="S61" s="23" t="str">
        <x:f>IF(O61&lt;&gt;"",O61-TODAY(),"")</x:f>
      </x:c>
      <x:c r="T61" s="23" t="str">
        <x:f>IF(A61="","",IF(N61="","Falta fecha base",IF(G61="","Falta cultivo",IF(D61="","Falta unidad","OK"))))</x:f>
      </x:c>
      <x:c r="U61" s="23" t="str">
        <x:f>IF(CultivosSembrados!A61="","",CultivosSembrados!L61)</x:f>
      </x:c>
      <x:c r="V61" s="23" t="str">
        <x:f>IF(CultivosSembrados!A61="","",CultivosSembrados!M61)</x:f>
      </x:c>
    </x:row>
    <x:row r="62">
      <x:c r="A62" s="23" t="str">
        <x:f>IF(CultivosSembrados!A62="","",CultivosSembrados!A62)</x:f>
      </x:c>
      <x:c r="B62" s="23" t="str">
        <x:f>IF(CultivosSembrados!A62="","",CultivosSembrados!B62)</x:f>
      </x:c>
      <x:c r="C62" s="23" t="str">
        <x:f>IF(A62="","",IFERROR(VLOOKUP(B62,Fincas!A:B,2,FALSE),""))</x:f>
      </x:c>
      <x:c r="D62" s="23" t="str">
        <x:f>IF(CultivosSembrados!A62="","",CultivosSembrados!C62)</x:f>
      </x:c>
      <x:c r="E62" s="23" t="str">
        <x:f>IF(A62="","",IFERROR(VLOOKUP(D62,Unidades!A:B,2,FALSE),""))</x:f>
      </x:c>
      <x:c r="F62" s="23" t="str">
        <x:f>IF(A62="","",IFERROR(VLOOKUP(D62,Unidades!A:D,4,FALSE),""))</x:f>
      </x:c>
      <x:c r="G62" s="23" t="str">
        <x:f>IF(CultivosSembrados!A62="","",CultivosSembrados!D62)</x:f>
      </x:c>
      <x:c r="H62" s="23" t="str">
        <x:f>IF(A62="","",IFERROR(VLOOKUP(G62,CatalogoCultivos!A:B,2,FALSE),""))</x:f>
      </x:c>
      <x:c r="I62" s="23" t="str">
        <x:f>IF(A62="","",IFERROR(VLOOKUP(G62,CatalogoCultivos!A:C,3,FALSE),""))</x:f>
      </x:c>
      <x:c r="J62" s="23" t="str">
        <x:f>IF(CultivosSembrados!A62="","",CultivosSembrados!G62)</x:f>
      </x:c>
      <x:c r="K62" s="23" t="str">
        <x:f>IF(CultivosSembrados!A62="","",CultivosSembrados!H62)</x:f>
      </x:c>
      <x:c r="L62" s="23" t="str">
        <x:f>IF(A62="","",IFERROR(CultivosSembrados!E62,""))</x:f>
      </x:c>
      <x:c r="M62" s="23" t="str">
        <x:f>IF(A62="","",IFERROR(CultivosSembrados!F62,""))</x:f>
      </x:c>
      <x:c r="N62" s="23" t="str">
        <x:f>IF(A62="","",IFERROR(CultivosSembrados!I62,""))</x:f>
      </x:c>
      <x:c r="O62" s="23" t="str">
        <x:f>IF(A62="","",IFERROR(CultivosSembrados!J62,""))</x:f>
      </x:c>
      <x:c r="P62" s="23" t="str">
        <x:f>IF(A62="","",IFERROR(CultivosSembrados!K62,""))</x:f>
      </x:c>
      <x:c r="Q62" s="23" t="str">
        <x:f>IF(O62&lt;&gt;"",TEXT(O62,"yyyy-mm"),"")</x:f>
      </x:c>
      <x:c r="R62" s="23" t="str">
        <x:f>IF(P62&lt;&gt;"",TEXT(P62,"yyyy-mm"),"")</x:f>
      </x:c>
      <x:c r="S62" s="23" t="str">
        <x:f>IF(O62&lt;&gt;"",O62-TODAY(),"")</x:f>
      </x:c>
      <x:c r="T62" s="23" t="str">
        <x:f>IF(A62="","",IF(N62="","Falta fecha base",IF(G62="","Falta cultivo",IF(D62="","Falta unidad","OK"))))</x:f>
      </x:c>
      <x:c r="U62" s="23" t="str">
        <x:f>IF(CultivosSembrados!A62="","",CultivosSembrados!L62)</x:f>
      </x:c>
      <x:c r="V62" s="23" t="str">
        <x:f>IF(CultivosSembrados!A62="","",CultivosSembrados!M62)</x:f>
      </x:c>
    </x:row>
    <x:row r="63">
      <x:c r="A63" s="23" t="str">
        <x:f>IF(CultivosSembrados!A63="","",CultivosSembrados!A63)</x:f>
      </x:c>
      <x:c r="B63" s="23" t="str">
        <x:f>IF(CultivosSembrados!A63="","",CultivosSembrados!B63)</x:f>
      </x:c>
      <x:c r="C63" s="23" t="str">
        <x:f>IF(A63="","",IFERROR(VLOOKUP(B63,Fincas!A:B,2,FALSE),""))</x:f>
      </x:c>
      <x:c r="D63" s="23" t="str">
        <x:f>IF(CultivosSembrados!A63="","",CultivosSembrados!C63)</x:f>
      </x:c>
      <x:c r="E63" s="23" t="str">
        <x:f>IF(A63="","",IFERROR(VLOOKUP(D63,Unidades!A:B,2,FALSE),""))</x:f>
      </x:c>
      <x:c r="F63" s="23" t="str">
        <x:f>IF(A63="","",IFERROR(VLOOKUP(D63,Unidades!A:D,4,FALSE),""))</x:f>
      </x:c>
      <x:c r="G63" s="23" t="str">
        <x:f>IF(CultivosSembrados!A63="","",CultivosSembrados!D63)</x:f>
      </x:c>
      <x:c r="H63" s="23" t="str">
        <x:f>IF(A63="","",IFERROR(VLOOKUP(G63,CatalogoCultivos!A:B,2,FALSE),""))</x:f>
      </x:c>
      <x:c r="I63" s="23" t="str">
        <x:f>IF(A63="","",IFERROR(VLOOKUP(G63,CatalogoCultivos!A:C,3,FALSE),""))</x:f>
      </x:c>
      <x:c r="J63" s="23" t="str">
        <x:f>IF(CultivosSembrados!A63="","",CultivosSembrados!G63)</x:f>
      </x:c>
      <x:c r="K63" s="23" t="str">
        <x:f>IF(CultivosSembrados!A63="","",CultivosSembrados!H63)</x:f>
      </x:c>
      <x:c r="L63" s="23" t="str">
        <x:f>IF(A63="","",IFERROR(CultivosSembrados!E63,""))</x:f>
      </x:c>
      <x:c r="M63" s="23" t="str">
        <x:f>IF(A63="","",IFERROR(CultivosSembrados!F63,""))</x:f>
      </x:c>
      <x:c r="N63" s="23" t="str">
        <x:f>IF(A63="","",IFERROR(CultivosSembrados!I63,""))</x:f>
      </x:c>
      <x:c r="O63" s="23" t="str">
        <x:f>IF(A63="","",IFERROR(CultivosSembrados!J63,""))</x:f>
      </x:c>
      <x:c r="P63" s="23" t="str">
        <x:f>IF(A63="","",IFERROR(CultivosSembrados!K63,""))</x:f>
      </x:c>
      <x:c r="Q63" s="23" t="str">
        <x:f>IF(O63&lt;&gt;"",TEXT(O63,"yyyy-mm"),"")</x:f>
      </x:c>
      <x:c r="R63" s="23" t="str">
        <x:f>IF(P63&lt;&gt;"",TEXT(P63,"yyyy-mm"),"")</x:f>
      </x:c>
      <x:c r="S63" s="23" t="str">
        <x:f>IF(O63&lt;&gt;"",O63-TODAY(),"")</x:f>
      </x:c>
      <x:c r="T63" s="23" t="str">
        <x:f>IF(A63="","",IF(N63="","Falta fecha base",IF(G63="","Falta cultivo",IF(D63="","Falta unidad","OK"))))</x:f>
      </x:c>
      <x:c r="U63" s="23" t="str">
        <x:f>IF(CultivosSembrados!A63="","",CultivosSembrados!L63)</x:f>
      </x:c>
      <x:c r="V63" s="23" t="str">
        <x:f>IF(CultivosSembrados!A63="","",CultivosSembrados!M63)</x:f>
      </x:c>
    </x:row>
    <x:row r="64">
      <x:c r="A64" s="23" t="str">
        <x:f>IF(CultivosSembrados!A64="","",CultivosSembrados!A64)</x:f>
      </x:c>
      <x:c r="B64" s="23" t="str">
        <x:f>IF(CultivosSembrados!A64="","",CultivosSembrados!B64)</x:f>
      </x:c>
      <x:c r="C64" s="23" t="str">
        <x:f>IF(A64="","",IFERROR(VLOOKUP(B64,Fincas!A:B,2,FALSE),""))</x:f>
      </x:c>
      <x:c r="D64" s="23" t="str">
        <x:f>IF(CultivosSembrados!A64="","",CultivosSembrados!C64)</x:f>
      </x:c>
      <x:c r="E64" s="23" t="str">
        <x:f>IF(A64="","",IFERROR(VLOOKUP(D64,Unidades!A:B,2,FALSE),""))</x:f>
      </x:c>
      <x:c r="F64" s="23" t="str">
        <x:f>IF(A64="","",IFERROR(VLOOKUP(D64,Unidades!A:D,4,FALSE),""))</x:f>
      </x:c>
      <x:c r="G64" s="23" t="str">
        <x:f>IF(CultivosSembrados!A64="","",CultivosSembrados!D64)</x:f>
      </x:c>
      <x:c r="H64" s="23" t="str">
        <x:f>IF(A64="","",IFERROR(VLOOKUP(G64,CatalogoCultivos!A:B,2,FALSE),""))</x:f>
      </x:c>
      <x:c r="I64" s="23" t="str">
        <x:f>IF(A64="","",IFERROR(VLOOKUP(G64,CatalogoCultivos!A:C,3,FALSE),""))</x:f>
      </x:c>
      <x:c r="J64" s="23" t="str">
        <x:f>IF(CultivosSembrados!A64="","",CultivosSembrados!G64)</x:f>
      </x:c>
      <x:c r="K64" s="23" t="str">
        <x:f>IF(CultivosSembrados!A64="","",CultivosSembrados!H64)</x:f>
      </x:c>
      <x:c r="L64" s="23" t="str">
        <x:f>IF(A64="","",IFERROR(CultivosSembrados!E64,""))</x:f>
      </x:c>
      <x:c r="M64" s="23" t="str">
        <x:f>IF(A64="","",IFERROR(CultivosSembrados!F64,""))</x:f>
      </x:c>
      <x:c r="N64" s="23" t="str">
        <x:f>IF(A64="","",IFERROR(CultivosSembrados!I64,""))</x:f>
      </x:c>
      <x:c r="O64" s="23" t="str">
        <x:f>IF(A64="","",IFERROR(CultivosSembrados!J64,""))</x:f>
      </x:c>
      <x:c r="P64" s="23" t="str">
        <x:f>IF(A64="","",IFERROR(CultivosSembrados!K64,""))</x:f>
      </x:c>
      <x:c r="Q64" s="23" t="str">
        <x:f>IF(O64&lt;&gt;"",TEXT(O64,"yyyy-mm"),"")</x:f>
      </x:c>
      <x:c r="R64" s="23" t="str">
        <x:f>IF(P64&lt;&gt;"",TEXT(P64,"yyyy-mm"),"")</x:f>
      </x:c>
      <x:c r="S64" s="23" t="str">
        <x:f>IF(O64&lt;&gt;"",O64-TODAY(),"")</x:f>
      </x:c>
      <x:c r="T64" s="23" t="str">
        <x:f>IF(A64="","",IF(N64="","Falta fecha base",IF(G64="","Falta cultivo",IF(D64="","Falta unidad","OK"))))</x:f>
      </x:c>
      <x:c r="U64" s="23" t="str">
        <x:f>IF(CultivosSembrados!A64="","",CultivosSembrados!L64)</x:f>
      </x:c>
      <x:c r="V64" s="23" t="str">
        <x:f>IF(CultivosSembrados!A64="","",CultivosSembrados!M64)</x:f>
      </x:c>
    </x:row>
    <x:row r="65">
      <x:c r="A65" s="23" t="str">
        <x:f>IF(CultivosSembrados!A65="","",CultivosSembrados!A65)</x:f>
      </x:c>
      <x:c r="B65" s="23" t="str">
        <x:f>IF(CultivosSembrados!A65="","",CultivosSembrados!B65)</x:f>
      </x:c>
      <x:c r="C65" s="23" t="str">
        <x:f>IF(A65="","",IFERROR(VLOOKUP(B65,Fincas!A:B,2,FALSE),""))</x:f>
      </x:c>
      <x:c r="D65" s="23" t="str">
        <x:f>IF(CultivosSembrados!A65="","",CultivosSembrados!C65)</x:f>
      </x:c>
      <x:c r="E65" s="23" t="str">
        <x:f>IF(A65="","",IFERROR(VLOOKUP(D65,Unidades!A:B,2,FALSE),""))</x:f>
      </x:c>
      <x:c r="F65" s="23" t="str">
        <x:f>IF(A65="","",IFERROR(VLOOKUP(D65,Unidades!A:D,4,FALSE),""))</x:f>
      </x:c>
      <x:c r="G65" s="23" t="str">
        <x:f>IF(CultivosSembrados!A65="","",CultivosSembrados!D65)</x:f>
      </x:c>
      <x:c r="H65" s="23" t="str">
        <x:f>IF(A65="","",IFERROR(VLOOKUP(G65,CatalogoCultivos!A:B,2,FALSE),""))</x:f>
      </x:c>
      <x:c r="I65" s="23" t="str">
        <x:f>IF(A65="","",IFERROR(VLOOKUP(G65,CatalogoCultivos!A:C,3,FALSE),""))</x:f>
      </x:c>
      <x:c r="J65" s="23" t="str">
        <x:f>IF(CultivosSembrados!A65="","",CultivosSembrados!G65)</x:f>
      </x:c>
      <x:c r="K65" s="23" t="str">
        <x:f>IF(CultivosSembrados!A65="","",CultivosSembrados!H65)</x:f>
      </x:c>
      <x:c r="L65" s="23" t="str">
        <x:f>IF(A65="","",IFERROR(CultivosSembrados!E65,""))</x:f>
      </x:c>
      <x:c r="M65" s="23" t="str">
        <x:f>IF(A65="","",IFERROR(CultivosSembrados!F65,""))</x:f>
      </x:c>
      <x:c r="N65" s="23" t="str">
        <x:f>IF(A65="","",IFERROR(CultivosSembrados!I65,""))</x:f>
      </x:c>
      <x:c r="O65" s="23" t="str">
        <x:f>IF(A65="","",IFERROR(CultivosSembrados!J65,""))</x:f>
      </x:c>
      <x:c r="P65" s="23" t="str">
        <x:f>IF(A65="","",IFERROR(CultivosSembrados!K65,""))</x:f>
      </x:c>
      <x:c r="Q65" s="23" t="str">
        <x:f>IF(O65&lt;&gt;"",TEXT(O65,"yyyy-mm"),"")</x:f>
      </x:c>
      <x:c r="R65" s="23" t="str">
        <x:f>IF(P65&lt;&gt;"",TEXT(P65,"yyyy-mm"),"")</x:f>
      </x:c>
      <x:c r="S65" s="23" t="str">
        <x:f>IF(O65&lt;&gt;"",O65-TODAY(),"")</x:f>
      </x:c>
      <x:c r="T65" s="23" t="str">
        <x:f>IF(A65="","",IF(N65="","Falta fecha base",IF(G65="","Falta cultivo",IF(D65="","Falta unidad","OK"))))</x:f>
      </x:c>
      <x:c r="U65" s="23" t="str">
        <x:f>IF(CultivosSembrados!A65="","",CultivosSembrados!L65)</x:f>
      </x:c>
      <x:c r="V65" s="23" t="str">
        <x:f>IF(CultivosSembrados!A65="","",CultivosSembrados!M65)</x:f>
      </x:c>
    </x:row>
    <x:row r="66">
      <x:c r="A66" s="23" t="str">
        <x:f>IF(CultivosSembrados!A66="","",CultivosSembrados!A66)</x:f>
      </x:c>
      <x:c r="B66" s="23" t="str">
        <x:f>IF(CultivosSembrados!A66="","",CultivosSembrados!B66)</x:f>
      </x:c>
      <x:c r="C66" s="23" t="str">
        <x:f>IF(A66="","",IFERROR(VLOOKUP(B66,Fincas!A:B,2,FALSE),""))</x:f>
      </x:c>
      <x:c r="D66" s="23" t="str">
        <x:f>IF(CultivosSembrados!A66="","",CultivosSembrados!C66)</x:f>
      </x:c>
      <x:c r="E66" s="23" t="str">
        <x:f>IF(A66="","",IFERROR(VLOOKUP(D66,Unidades!A:B,2,FALSE),""))</x:f>
      </x:c>
      <x:c r="F66" s="23" t="str">
        <x:f>IF(A66="","",IFERROR(VLOOKUP(D66,Unidades!A:D,4,FALSE),""))</x:f>
      </x:c>
      <x:c r="G66" s="23" t="str">
        <x:f>IF(CultivosSembrados!A66="","",CultivosSembrados!D66)</x:f>
      </x:c>
      <x:c r="H66" s="23" t="str">
        <x:f>IF(A66="","",IFERROR(VLOOKUP(G66,CatalogoCultivos!A:B,2,FALSE),""))</x:f>
      </x:c>
      <x:c r="I66" s="23" t="str">
        <x:f>IF(A66="","",IFERROR(VLOOKUP(G66,CatalogoCultivos!A:C,3,FALSE),""))</x:f>
      </x:c>
      <x:c r="J66" s="23" t="str">
        <x:f>IF(CultivosSembrados!A66="","",CultivosSembrados!G66)</x:f>
      </x:c>
      <x:c r="K66" s="23" t="str">
        <x:f>IF(CultivosSembrados!A66="","",CultivosSembrados!H66)</x:f>
      </x:c>
      <x:c r="L66" s="23" t="str">
        <x:f>IF(A66="","",IFERROR(CultivosSembrados!E66,""))</x:f>
      </x:c>
      <x:c r="M66" s="23" t="str">
        <x:f>IF(A66="","",IFERROR(CultivosSembrados!F66,""))</x:f>
      </x:c>
      <x:c r="N66" s="23" t="str">
        <x:f>IF(A66="","",IFERROR(CultivosSembrados!I66,""))</x:f>
      </x:c>
      <x:c r="O66" s="23" t="str">
        <x:f>IF(A66="","",IFERROR(CultivosSembrados!J66,""))</x:f>
      </x:c>
      <x:c r="P66" s="23" t="str">
        <x:f>IF(A66="","",IFERROR(CultivosSembrados!K66,""))</x:f>
      </x:c>
      <x:c r="Q66" s="23" t="str">
        <x:f>IF(O66&lt;&gt;"",TEXT(O66,"yyyy-mm"),"")</x:f>
      </x:c>
      <x:c r="R66" s="23" t="str">
        <x:f>IF(P66&lt;&gt;"",TEXT(P66,"yyyy-mm"),"")</x:f>
      </x:c>
      <x:c r="S66" s="23" t="str">
        <x:f>IF(O66&lt;&gt;"",O66-TODAY(),"")</x:f>
      </x:c>
      <x:c r="T66" s="23" t="str">
        <x:f>IF(A66="","",IF(N66="","Falta fecha base",IF(G66="","Falta cultivo",IF(D66="","Falta unidad","OK"))))</x:f>
      </x:c>
      <x:c r="U66" s="23" t="str">
        <x:f>IF(CultivosSembrados!A66="","",CultivosSembrados!L66)</x:f>
      </x:c>
      <x:c r="V66" s="23" t="str">
        <x:f>IF(CultivosSembrados!A66="","",CultivosSembrados!M66)</x:f>
      </x:c>
    </x:row>
    <x:row r="67">
      <x:c r="A67" s="23" t="str">
        <x:f>IF(CultivosSembrados!A67="","",CultivosSembrados!A67)</x:f>
      </x:c>
      <x:c r="B67" s="23" t="str">
        <x:f>IF(CultivosSembrados!A67="","",CultivosSembrados!B67)</x:f>
      </x:c>
      <x:c r="C67" s="23" t="str">
        <x:f>IF(A67="","",IFERROR(VLOOKUP(B67,Fincas!A:B,2,FALSE),""))</x:f>
      </x:c>
      <x:c r="D67" s="23" t="str">
        <x:f>IF(CultivosSembrados!A67="","",CultivosSembrados!C67)</x:f>
      </x:c>
      <x:c r="E67" s="23" t="str">
        <x:f>IF(A67="","",IFERROR(VLOOKUP(D67,Unidades!A:B,2,FALSE),""))</x:f>
      </x:c>
      <x:c r="F67" s="23" t="str">
        <x:f>IF(A67="","",IFERROR(VLOOKUP(D67,Unidades!A:D,4,FALSE),""))</x:f>
      </x:c>
      <x:c r="G67" s="23" t="str">
        <x:f>IF(CultivosSembrados!A67="","",CultivosSembrados!D67)</x:f>
      </x:c>
      <x:c r="H67" s="23" t="str">
        <x:f>IF(A67="","",IFERROR(VLOOKUP(G67,CatalogoCultivos!A:B,2,FALSE),""))</x:f>
      </x:c>
      <x:c r="I67" s="23" t="str">
        <x:f>IF(A67="","",IFERROR(VLOOKUP(G67,CatalogoCultivos!A:C,3,FALSE),""))</x:f>
      </x:c>
      <x:c r="J67" s="23" t="str">
        <x:f>IF(CultivosSembrados!A67="","",CultivosSembrados!G67)</x:f>
      </x:c>
      <x:c r="K67" s="23" t="str">
        <x:f>IF(CultivosSembrados!A67="","",CultivosSembrados!H67)</x:f>
      </x:c>
      <x:c r="L67" s="23" t="str">
        <x:f>IF(A67="","",IFERROR(CultivosSembrados!E67,""))</x:f>
      </x:c>
      <x:c r="M67" s="23" t="str">
        <x:f>IF(A67="","",IFERROR(CultivosSembrados!F67,""))</x:f>
      </x:c>
      <x:c r="N67" s="23" t="str">
        <x:f>IF(A67="","",IFERROR(CultivosSembrados!I67,""))</x:f>
      </x:c>
      <x:c r="O67" s="23" t="str">
        <x:f>IF(A67="","",IFERROR(CultivosSembrados!J67,""))</x:f>
      </x:c>
      <x:c r="P67" s="23" t="str">
        <x:f>IF(A67="","",IFERROR(CultivosSembrados!K67,""))</x:f>
      </x:c>
      <x:c r="Q67" s="23" t="str">
        <x:f>IF(O67&lt;&gt;"",TEXT(O67,"yyyy-mm"),"")</x:f>
      </x:c>
      <x:c r="R67" s="23" t="str">
        <x:f>IF(P67&lt;&gt;"",TEXT(P67,"yyyy-mm"),"")</x:f>
      </x:c>
      <x:c r="S67" s="23" t="str">
        <x:f>IF(O67&lt;&gt;"",O67-TODAY(),"")</x:f>
      </x:c>
      <x:c r="T67" s="23" t="str">
        <x:f>IF(A67="","",IF(N67="","Falta fecha base",IF(G67="","Falta cultivo",IF(D67="","Falta unidad","OK"))))</x:f>
      </x:c>
      <x:c r="U67" s="23" t="str">
        <x:f>IF(CultivosSembrados!A67="","",CultivosSembrados!L67)</x:f>
      </x:c>
      <x:c r="V67" s="23" t="str">
        <x:f>IF(CultivosSembrados!A67="","",CultivosSembrados!M67)</x:f>
      </x:c>
    </x:row>
    <x:row r="68">
      <x:c r="A68" s="23" t="str">
        <x:f>IF(CultivosSembrados!A68="","",CultivosSembrados!A68)</x:f>
      </x:c>
      <x:c r="B68" s="23" t="str">
        <x:f>IF(CultivosSembrados!A68="","",CultivosSembrados!B68)</x:f>
      </x:c>
      <x:c r="C68" s="23" t="str">
        <x:f>IF(A68="","",IFERROR(VLOOKUP(B68,Fincas!A:B,2,FALSE),""))</x:f>
      </x:c>
      <x:c r="D68" s="23" t="str">
        <x:f>IF(CultivosSembrados!A68="","",CultivosSembrados!C68)</x:f>
      </x:c>
      <x:c r="E68" s="23" t="str">
        <x:f>IF(A68="","",IFERROR(VLOOKUP(D68,Unidades!A:B,2,FALSE),""))</x:f>
      </x:c>
      <x:c r="F68" s="23" t="str">
        <x:f>IF(A68="","",IFERROR(VLOOKUP(D68,Unidades!A:D,4,FALSE),""))</x:f>
      </x:c>
      <x:c r="G68" s="23" t="str">
        <x:f>IF(CultivosSembrados!A68="","",CultivosSembrados!D68)</x:f>
      </x:c>
      <x:c r="H68" s="23" t="str">
        <x:f>IF(A68="","",IFERROR(VLOOKUP(G68,CatalogoCultivos!A:B,2,FALSE),""))</x:f>
      </x:c>
      <x:c r="I68" s="23" t="str">
        <x:f>IF(A68="","",IFERROR(VLOOKUP(G68,CatalogoCultivos!A:C,3,FALSE),""))</x:f>
      </x:c>
      <x:c r="J68" s="23" t="str">
        <x:f>IF(CultivosSembrados!A68="","",CultivosSembrados!G68)</x:f>
      </x:c>
      <x:c r="K68" s="23" t="str">
        <x:f>IF(CultivosSembrados!A68="","",CultivosSembrados!H68)</x:f>
      </x:c>
      <x:c r="L68" s="23" t="str">
        <x:f>IF(A68="","",IFERROR(CultivosSembrados!E68,""))</x:f>
      </x:c>
      <x:c r="M68" s="23" t="str">
        <x:f>IF(A68="","",IFERROR(CultivosSembrados!F68,""))</x:f>
      </x:c>
      <x:c r="N68" s="23" t="str">
        <x:f>IF(A68="","",IFERROR(CultivosSembrados!I68,""))</x:f>
      </x:c>
      <x:c r="O68" s="23" t="str">
        <x:f>IF(A68="","",IFERROR(CultivosSembrados!J68,""))</x:f>
      </x:c>
      <x:c r="P68" s="23" t="str">
        <x:f>IF(A68="","",IFERROR(CultivosSembrados!K68,""))</x:f>
      </x:c>
      <x:c r="Q68" s="23" t="str">
        <x:f>IF(O68&lt;&gt;"",TEXT(O68,"yyyy-mm"),"")</x:f>
      </x:c>
      <x:c r="R68" s="23" t="str">
        <x:f>IF(P68&lt;&gt;"",TEXT(P68,"yyyy-mm"),"")</x:f>
      </x:c>
      <x:c r="S68" s="23" t="str">
        <x:f>IF(O68&lt;&gt;"",O68-TODAY(),"")</x:f>
      </x:c>
      <x:c r="T68" s="23" t="str">
        <x:f>IF(A68="","",IF(N68="","Falta fecha base",IF(G68="","Falta cultivo",IF(D68="","Falta unidad","OK"))))</x:f>
      </x:c>
      <x:c r="U68" s="23" t="str">
        <x:f>IF(CultivosSembrados!A68="","",CultivosSembrados!L68)</x:f>
      </x:c>
      <x:c r="V68" s="23" t="str">
        <x:f>IF(CultivosSembrados!A68="","",CultivosSembrados!M68)</x:f>
      </x:c>
    </x:row>
    <x:row r="69">
      <x:c r="A69" s="23" t="str">
        <x:f>IF(CultivosSembrados!A69="","",CultivosSembrados!A69)</x:f>
      </x:c>
      <x:c r="B69" s="23" t="str">
        <x:f>IF(CultivosSembrados!A69="","",CultivosSembrados!B69)</x:f>
      </x:c>
      <x:c r="C69" s="23" t="str">
        <x:f>IF(A69="","",IFERROR(VLOOKUP(B69,Fincas!A:B,2,FALSE),""))</x:f>
      </x:c>
      <x:c r="D69" s="23" t="str">
        <x:f>IF(CultivosSembrados!A69="","",CultivosSembrados!C69)</x:f>
      </x:c>
      <x:c r="E69" s="23" t="str">
        <x:f>IF(A69="","",IFERROR(VLOOKUP(D69,Unidades!A:B,2,FALSE),""))</x:f>
      </x:c>
      <x:c r="F69" s="23" t="str">
        <x:f>IF(A69="","",IFERROR(VLOOKUP(D69,Unidades!A:D,4,FALSE),""))</x:f>
      </x:c>
      <x:c r="G69" s="23" t="str">
        <x:f>IF(CultivosSembrados!A69="","",CultivosSembrados!D69)</x:f>
      </x:c>
      <x:c r="H69" s="23" t="str">
        <x:f>IF(A69="","",IFERROR(VLOOKUP(G69,CatalogoCultivos!A:B,2,FALSE),""))</x:f>
      </x:c>
      <x:c r="I69" s="23" t="str">
        <x:f>IF(A69="","",IFERROR(VLOOKUP(G69,CatalogoCultivos!A:C,3,FALSE),""))</x:f>
      </x:c>
      <x:c r="J69" s="23" t="str">
        <x:f>IF(CultivosSembrados!A69="","",CultivosSembrados!G69)</x:f>
      </x:c>
      <x:c r="K69" s="23" t="str">
        <x:f>IF(CultivosSembrados!A69="","",CultivosSembrados!H69)</x:f>
      </x:c>
      <x:c r="L69" s="23" t="str">
        <x:f>IF(A69="","",IFERROR(CultivosSembrados!E69,""))</x:f>
      </x:c>
      <x:c r="M69" s="23" t="str">
        <x:f>IF(A69="","",IFERROR(CultivosSembrados!F69,""))</x:f>
      </x:c>
      <x:c r="N69" s="23" t="str">
        <x:f>IF(A69="","",IFERROR(CultivosSembrados!I69,""))</x:f>
      </x:c>
      <x:c r="O69" s="23" t="str">
        <x:f>IF(A69="","",IFERROR(CultivosSembrados!J69,""))</x:f>
      </x:c>
      <x:c r="P69" s="23" t="str">
        <x:f>IF(A69="","",IFERROR(CultivosSembrados!K69,""))</x:f>
      </x:c>
      <x:c r="Q69" s="23" t="str">
        <x:f>IF(O69&lt;&gt;"",TEXT(O69,"yyyy-mm"),"")</x:f>
      </x:c>
      <x:c r="R69" s="23" t="str">
        <x:f>IF(P69&lt;&gt;"",TEXT(P69,"yyyy-mm"),"")</x:f>
      </x:c>
      <x:c r="S69" s="23" t="str">
        <x:f>IF(O69&lt;&gt;"",O69-TODAY(),"")</x:f>
      </x:c>
      <x:c r="T69" s="23" t="str">
        <x:f>IF(A69="","",IF(N69="","Falta fecha base",IF(G69="","Falta cultivo",IF(D69="","Falta unidad","OK"))))</x:f>
      </x:c>
      <x:c r="U69" s="23" t="str">
        <x:f>IF(CultivosSembrados!A69="","",CultivosSembrados!L69)</x:f>
      </x:c>
      <x:c r="V69" s="23" t="str">
        <x:f>IF(CultivosSembrados!A69="","",CultivosSembrados!M69)</x:f>
      </x:c>
    </x:row>
    <x:row r="70">
      <x:c r="A70" s="23" t="str">
        <x:f>IF(CultivosSembrados!A70="","",CultivosSembrados!A70)</x:f>
      </x:c>
      <x:c r="B70" s="23" t="str">
        <x:f>IF(CultivosSembrados!A70="","",CultivosSembrados!B70)</x:f>
      </x:c>
      <x:c r="C70" s="23" t="str">
        <x:f>IF(A70="","",IFERROR(VLOOKUP(B70,Fincas!A:B,2,FALSE),""))</x:f>
      </x:c>
      <x:c r="D70" s="23" t="str">
        <x:f>IF(CultivosSembrados!A70="","",CultivosSembrados!C70)</x:f>
      </x:c>
      <x:c r="E70" s="23" t="str">
        <x:f>IF(A70="","",IFERROR(VLOOKUP(D70,Unidades!A:B,2,FALSE),""))</x:f>
      </x:c>
      <x:c r="F70" s="23" t="str">
        <x:f>IF(A70="","",IFERROR(VLOOKUP(D70,Unidades!A:D,4,FALSE),""))</x:f>
      </x:c>
      <x:c r="G70" s="23" t="str">
        <x:f>IF(CultivosSembrados!A70="","",CultivosSembrados!D70)</x:f>
      </x:c>
      <x:c r="H70" s="23" t="str">
        <x:f>IF(A70="","",IFERROR(VLOOKUP(G70,CatalogoCultivos!A:B,2,FALSE),""))</x:f>
      </x:c>
      <x:c r="I70" s="23" t="str">
        <x:f>IF(A70="","",IFERROR(VLOOKUP(G70,CatalogoCultivos!A:C,3,FALSE),""))</x:f>
      </x:c>
      <x:c r="J70" s="23" t="str">
        <x:f>IF(CultivosSembrados!A70="","",CultivosSembrados!G70)</x:f>
      </x:c>
      <x:c r="K70" s="23" t="str">
        <x:f>IF(CultivosSembrados!A70="","",CultivosSembrados!H70)</x:f>
      </x:c>
      <x:c r="L70" s="23" t="str">
        <x:f>IF(A70="","",IFERROR(CultivosSembrados!E70,""))</x:f>
      </x:c>
      <x:c r="M70" s="23" t="str">
        <x:f>IF(A70="","",IFERROR(CultivosSembrados!F70,""))</x:f>
      </x:c>
      <x:c r="N70" s="23" t="str">
        <x:f>IF(A70="","",IFERROR(CultivosSembrados!I70,""))</x:f>
      </x:c>
      <x:c r="O70" s="23" t="str">
        <x:f>IF(A70="","",IFERROR(CultivosSembrados!J70,""))</x:f>
      </x:c>
      <x:c r="P70" s="23" t="str">
        <x:f>IF(A70="","",IFERROR(CultivosSembrados!K70,""))</x:f>
      </x:c>
      <x:c r="Q70" s="23" t="str">
        <x:f>IF(O70&lt;&gt;"",TEXT(O70,"yyyy-mm"),"")</x:f>
      </x:c>
      <x:c r="R70" s="23" t="str">
        <x:f>IF(P70&lt;&gt;"",TEXT(P70,"yyyy-mm"),"")</x:f>
      </x:c>
      <x:c r="S70" s="23" t="str">
        <x:f>IF(O70&lt;&gt;"",O70-TODAY(),"")</x:f>
      </x:c>
      <x:c r="T70" s="23" t="str">
        <x:f>IF(A70="","",IF(N70="","Falta fecha base",IF(G70="","Falta cultivo",IF(D70="","Falta unidad","OK"))))</x:f>
      </x:c>
      <x:c r="U70" s="23" t="str">
        <x:f>IF(CultivosSembrados!A70="","",CultivosSembrados!L70)</x:f>
      </x:c>
      <x:c r="V70" s="23" t="str">
        <x:f>IF(CultivosSembrados!A70="","",CultivosSembrados!M70)</x:f>
      </x:c>
    </x:row>
    <x:row r="71">
      <x:c r="A71" s="23" t="str">
        <x:f>IF(CultivosSembrados!A71="","",CultivosSembrados!A71)</x:f>
      </x:c>
      <x:c r="B71" s="23" t="str">
        <x:f>IF(CultivosSembrados!A71="","",CultivosSembrados!B71)</x:f>
      </x:c>
      <x:c r="C71" s="23" t="str">
        <x:f>IF(A71="","",IFERROR(VLOOKUP(B71,Fincas!A:B,2,FALSE),""))</x:f>
      </x:c>
      <x:c r="D71" s="23" t="str">
        <x:f>IF(CultivosSembrados!A71="","",CultivosSembrados!C71)</x:f>
      </x:c>
      <x:c r="E71" s="23" t="str">
        <x:f>IF(A71="","",IFERROR(VLOOKUP(D71,Unidades!A:B,2,FALSE),""))</x:f>
      </x:c>
      <x:c r="F71" s="23" t="str">
        <x:f>IF(A71="","",IFERROR(VLOOKUP(D71,Unidades!A:D,4,FALSE),""))</x:f>
      </x:c>
      <x:c r="G71" s="23" t="str">
        <x:f>IF(CultivosSembrados!A71="","",CultivosSembrados!D71)</x:f>
      </x:c>
      <x:c r="H71" s="23" t="str">
        <x:f>IF(A71="","",IFERROR(VLOOKUP(G71,CatalogoCultivos!A:B,2,FALSE),""))</x:f>
      </x:c>
      <x:c r="I71" s="23" t="str">
        <x:f>IF(A71="","",IFERROR(VLOOKUP(G71,CatalogoCultivos!A:C,3,FALSE),""))</x:f>
      </x:c>
      <x:c r="J71" s="23" t="str">
        <x:f>IF(CultivosSembrados!A71="","",CultivosSembrados!G71)</x:f>
      </x:c>
      <x:c r="K71" s="23" t="str">
        <x:f>IF(CultivosSembrados!A71="","",CultivosSembrados!H71)</x:f>
      </x:c>
      <x:c r="L71" s="23" t="str">
        <x:f>IF(A71="","",IFERROR(CultivosSembrados!E71,""))</x:f>
      </x:c>
      <x:c r="M71" s="23" t="str">
        <x:f>IF(A71="","",IFERROR(CultivosSembrados!F71,""))</x:f>
      </x:c>
      <x:c r="N71" s="23" t="str">
        <x:f>IF(A71="","",IFERROR(CultivosSembrados!I71,""))</x:f>
      </x:c>
      <x:c r="O71" s="23" t="str">
        <x:f>IF(A71="","",IFERROR(CultivosSembrados!J71,""))</x:f>
      </x:c>
      <x:c r="P71" s="23" t="str">
        <x:f>IF(A71="","",IFERROR(CultivosSembrados!K71,""))</x:f>
      </x:c>
      <x:c r="Q71" s="23" t="str">
        <x:f>IF(O71&lt;&gt;"",TEXT(O71,"yyyy-mm"),"")</x:f>
      </x:c>
      <x:c r="R71" s="23" t="str">
        <x:f>IF(P71&lt;&gt;"",TEXT(P71,"yyyy-mm"),"")</x:f>
      </x:c>
      <x:c r="S71" s="23" t="str">
        <x:f>IF(O71&lt;&gt;"",O71-TODAY(),"")</x:f>
      </x:c>
      <x:c r="T71" s="23" t="str">
        <x:f>IF(A71="","",IF(N71="","Falta fecha base",IF(G71="","Falta cultivo",IF(D71="","Falta unidad","OK"))))</x:f>
      </x:c>
      <x:c r="U71" s="23" t="str">
        <x:f>IF(CultivosSembrados!A71="","",CultivosSembrados!L71)</x:f>
      </x:c>
      <x:c r="V71" s="23" t="str">
        <x:f>IF(CultivosSembrados!A71="","",CultivosSembrados!M71)</x:f>
      </x:c>
    </x:row>
    <x:row r="72">
      <x:c r="A72" s="23" t="str">
        <x:f>IF(CultivosSembrados!A72="","",CultivosSembrados!A72)</x:f>
      </x:c>
      <x:c r="B72" s="23" t="str">
        <x:f>IF(CultivosSembrados!A72="","",CultivosSembrados!B72)</x:f>
      </x:c>
      <x:c r="C72" s="23" t="str">
        <x:f>IF(A72="","",IFERROR(VLOOKUP(B72,Fincas!A:B,2,FALSE),""))</x:f>
      </x:c>
      <x:c r="D72" s="23" t="str">
        <x:f>IF(CultivosSembrados!A72="","",CultivosSembrados!C72)</x:f>
      </x:c>
      <x:c r="E72" s="23" t="str">
        <x:f>IF(A72="","",IFERROR(VLOOKUP(D72,Unidades!A:B,2,FALSE),""))</x:f>
      </x:c>
      <x:c r="F72" s="23" t="str">
        <x:f>IF(A72="","",IFERROR(VLOOKUP(D72,Unidades!A:D,4,FALSE),""))</x:f>
      </x:c>
      <x:c r="G72" s="23" t="str">
        <x:f>IF(CultivosSembrados!A72="","",CultivosSembrados!D72)</x:f>
      </x:c>
      <x:c r="H72" s="23" t="str">
        <x:f>IF(A72="","",IFERROR(VLOOKUP(G72,CatalogoCultivos!A:B,2,FALSE),""))</x:f>
      </x:c>
      <x:c r="I72" s="23" t="str">
        <x:f>IF(A72="","",IFERROR(VLOOKUP(G72,CatalogoCultivos!A:C,3,FALSE),""))</x:f>
      </x:c>
      <x:c r="J72" s="23" t="str">
        <x:f>IF(CultivosSembrados!A72="","",CultivosSembrados!G72)</x:f>
      </x:c>
      <x:c r="K72" s="23" t="str">
        <x:f>IF(CultivosSembrados!A72="","",CultivosSembrados!H72)</x:f>
      </x:c>
      <x:c r="L72" s="23" t="str">
        <x:f>IF(A72="","",IFERROR(CultivosSembrados!E72,""))</x:f>
      </x:c>
      <x:c r="M72" s="23" t="str">
        <x:f>IF(A72="","",IFERROR(CultivosSembrados!F72,""))</x:f>
      </x:c>
      <x:c r="N72" s="23" t="str">
        <x:f>IF(A72="","",IFERROR(CultivosSembrados!I72,""))</x:f>
      </x:c>
      <x:c r="O72" s="23" t="str">
        <x:f>IF(A72="","",IFERROR(CultivosSembrados!J72,""))</x:f>
      </x:c>
      <x:c r="P72" s="23" t="str">
        <x:f>IF(A72="","",IFERROR(CultivosSembrados!K72,""))</x:f>
      </x:c>
      <x:c r="Q72" s="23" t="str">
        <x:f>IF(O72&lt;&gt;"",TEXT(O72,"yyyy-mm"),"")</x:f>
      </x:c>
      <x:c r="R72" s="23" t="str">
        <x:f>IF(P72&lt;&gt;"",TEXT(P72,"yyyy-mm"),"")</x:f>
      </x:c>
      <x:c r="S72" s="23" t="str">
        <x:f>IF(O72&lt;&gt;"",O72-TODAY(),"")</x:f>
      </x:c>
      <x:c r="T72" s="23" t="str">
        <x:f>IF(A72="","",IF(N72="","Falta fecha base",IF(G72="","Falta cultivo",IF(D72="","Falta unidad","OK"))))</x:f>
      </x:c>
      <x:c r="U72" s="23" t="str">
        <x:f>IF(CultivosSembrados!A72="","",CultivosSembrados!L72)</x:f>
      </x:c>
      <x:c r="V72" s="23" t="str">
        <x:f>IF(CultivosSembrados!A72="","",CultivosSembrados!M72)</x:f>
      </x:c>
    </x:row>
    <x:row r="73">
      <x:c r="A73" s="23" t="str">
        <x:f>IF(CultivosSembrados!A73="","",CultivosSembrados!A73)</x:f>
      </x:c>
      <x:c r="B73" s="23" t="str">
        <x:f>IF(CultivosSembrados!A73="","",CultivosSembrados!B73)</x:f>
      </x:c>
      <x:c r="C73" s="23" t="str">
        <x:f>IF(A73="","",IFERROR(VLOOKUP(B73,Fincas!A:B,2,FALSE),""))</x:f>
      </x:c>
      <x:c r="D73" s="23" t="str">
        <x:f>IF(CultivosSembrados!A73="","",CultivosSembrados!C73)</x:f>
      </x:c>
      <x:c r="E73" s="23" t="str">
        <x:f>IF(A73="","",IFERROR(VLOOKUP(D73,Unidades!A:B,2,FALSE),""))</x:f>
      </x:c>
      <x:c r="F73" s="23" t="str">
        <x:f>IF(A73="","",IFERROR(VLOOKUP(D73,Unidades!A:D,4,FALSE),""))</x:f>
      </x:c>
      <x:c r="G73" s="23" t="str">
        <x:f>IF(CultivosSembrados!A73="","",CultivosSembrados!D73)</x:f>
      </x:c>
      <x:c r="H73" s="23" t="str">
        <x:f>IF(A73="","",IFERROR(VLOOKUP(G73,CatalogoCultivos!A:B,2,FALSE),""))</x:f>
      </x:c>
      <x:c r="I73" s="23" t="str">
        <x:f>IF(A73="","",IFERROR(VLOOKUP(G73,CatalogoCultivos!A:C,3,FALSE),""))</x:f>
      </x:c>
      <x:c r="J73" s="23" t="str">
        <x:f>IF(CultivosSembrados!A73="","",CultivosSembrados!G73)</x:f>
      </x:c>
      <x:c r="K73" s="23" t="str">
        <x:f>IF(CultivosSembrados!A73="","",CultivosSembrados!H73)</x:f>
      </x:c>
      <x:c r="L73" s="23" t="str">
        <x:f>IF(A73="","",IFERROR(CultivosSembrados!E73,""))</x:f>
      </x:c>
      <x:c r="M73" s="23" t="str">
        <x:f>IF(A73="","",IFERROR(CultivosSembrados!F73,""))</x:f>
      </x:c>
      <x:c r="N73" s="23" t="str">
        <x:f>IF(A73="","",IFERROR(CultivosSembrados!I73,""))</x:f>
      </x:c>
      <x:c r="O73" s="23" t="str">
        <x:f>IF(A73="","",IFERROR(CultivosSembrados!J73,""))</x:f>
      </x:c>
      <x:c r="P73" s="23" t="str">
        <x:f>IF(A73="","",IFERROR(CultivosSembrados!K73,""))</x:f>
      </x:c>
      <x:c r="Q73" s="23" t="str">
        <x:f>IF(O73&lt;&gt;"",TEXT(O73,"yyyy-mm"),"")</x:f>
      </x:c>
      <x:c r="R73" s="23" t="str">
        <x:f>IF(P73&lt;&gt;"",TEXT(P73,"yyyy-mm"),"")</x:f>
      </x:c>
      <x:c r="S73" s="23" t="str">
        <x:f>IF(O73&lt;&gt;"",O73-TODAY(),"")</x:f>
      </x:c>
      <x:c r="T73" s="23" t="str">
        <x:f>IF(A73="","",IF(N73="","Falta fecha base",IF(G73="","Falta cultivo",IF(D73="","Falta unidad","OK"))))</x:f>
      </x:c>
      <x:c r="U73" s="23" t="str">
        <x:f>IF(CultivosSembrados!A73="","",CultivosSembrados!L73)</x:f>
      </x:c>
      <x:c r="V73" s="23" t="str">
        <x:f>IF(CultivosSembrados!A73="","",CultivosSembrados!M73)</x:f>
      </x:c>
    </x:row>
    <x:row r="74">
      <x:c r="A74" s="23" t="str">
        <x:f>IF(CultivosSembrados!A74="","",CultivosSembrados!A74)</x:f>
      </x:c>
      <x:c r="B74" s="23" t="str">
        <x:f>IF(CultivosSembrados!A74="","",CultivosSembrados!B74)</x:f>
      </x:c>
      <x:c r="C74" s="23" t="str">
        <x:f>IF(A74="","",IFERROR(VLOOKUP(B74,Fincas!A:B,2,FALSE),""))</x:f>
      </x:c>
      <x:c r="D74" s="23" t="str">
        <x:f>IF(CultivosSembrados!A74="","",CultivosSembrados!C74)</x:f>
      </x:c>
      <x:c r="E74" s="23" t="str">
        <x:f>IF(A74="","",IFERROR(VLOOKUP(D74,Unidades!A:B,2,FALSE),""))</x:f>
      </x:c>
      <x:c r="F74" s="23" t="str">
        <x:f>IF(A74="","",IFERROR(VLOOKUP(D74,Unidades!A:D,4,FALSE),""))</x:f>
      </x:c>
      <x:c r="G74" s="23" t="str">
        <x:f>IF(CultivosSembrados!A74="","",CultivosSembrados!D74)</x:f>
      </x:c>
      <x:c r="H74" s="23" t="str">
        <x:f>IF(A74="","",IFERROR(VLOOKUP(G74,CatalogoCultivos!A:B,2,FALSE),""))</x:f>
      </x:c>
      <x:c r="I74" s="23" t="str">
        <x:f>IF(A74="","",IFERROR(VLOOKUP(G74,CatalogoCultivos!A:C,3,FALSE),""))</x:f>
      </x:c>
      <x:c r="J74" s="23" t="str">
        <x:f>IF(CultivosSembrados!A74="","",CultivosSembrados!G74)</x:f>
      </x:c>
      <x:c r="K74" s="23" t="str">
        <x:f>IF(CultivosSembrados!A74="","",CultivosSembrados!H74)</x:f>
      </x:c>
      <x:c r="L74" s="23" t="str">
        <x:f>IF(A74="","",IFERROR(CultivosSembrados!E74,""))</x:f>
      </x:c>
      <x:c r="M74" s="23" t="str">
        <x:f>IF(A74="","",IFERROR(CultivosSembrados!F74,""))</x:f>
      </x:c>
      <x:c r="N74" s="23" t="str">
        <x:f>IF(A74="","",IFERROR(CultivosSembrados!I74,""))</x:f>
      </x:c>
      <x:c r="O74" s="23" t="str">
        <x:f>IF(A74="","",IFERROR(CultivosSembrados!J74,""))</x:f>
      </x:c>
      <x:c r="P74" s="23" t="str">
        <x:f>IF(A74="","",IFERROR(CultivosSembrados!K74,""))</x:f>
      </x:c>
      <x:c r="Q74" s="23" t="str">
        <x:f>IF(O74&lt;&gt;"",TEXT(O74,"yyyy-mm"),"")</x:f>
      </x:c>
      <x:c r="R74" s="23" t="str">
        <x:f>IF(P74&lt;&gt;"",TEXT(P74,"yyyy-mm"),"")</x:f>
      </x:c>
      <x:c r="S74" s="23" t="str">
        <x:f>IF(O74&lt;&gt;"",O74-TODAY(),"")</x:f>
      </x:c>
      <x:c r="T74" s="23" t="str">
        <x:f>IF(A74="","",IF(N74="","Falta fecha base",IF(G74="","Falta cultivo",IF(D74="","Falta unidad","OK"))))</x:f>
      </x:c>
      <x:c r="U74" s="23" t="str">
        <x:f>IF(CultivosSembrados!A74="","",CultivosSembrados!L74)</x:f>
      </x:c>
      <x:c r="V74" s="23" t="str">
        <x:f>IF(CultivosSembrados!A74="","",CultivosSembrados!M74)</x:f>
      </x:c>
    </x:row>
    <x:row r="75">
      <x:c r="A75" s="23" t="str">
        <x:f>IF(CultivosSembrados!A75="","",CultivosSembrados!A75)</x:f>
      </x:c>
      <x:c r="B75" s="23" t="str">
        <x:f>IF(CultivosSembrados!A75="","",CultivosSembrados!B75)</x:f>
      </x:c>
      <x:c r="C75" s="23" t="str">
        <x:f>IF(A75="","",IFERROR(VLOOKUP(B75,Fincas!A:B,2,FALSE),""))</x:f>
      </x:c>
      <x:c r="D75" s="23" t="str">
        <x:f>IF(CultivosSembrados!A75="","",CultivosSembrados!C75)</x:f>
      </x:c>
      <x:c r="E75" s="23" t="str">
        <x:f>IF(A75="","",IFERROR(VLOOKUP(D75,Unidades!A:B,2,FALSE),""))</x:f>
      </x:c>
      <x:c r="F75" s="23" t="str">
        <x:f>IF(A75="","",IFERROR(VLOOKUP(D75,Unidades!A:D,4,FALSE),""))</x:f>
      </x:c>
      <x:c r="G75" s="23" t="str">
        <x:f>IF(CultivosSembrados!A75="","",CultivosSembrados!D75)</x:f>
      </x:c>
      <x:c r="H75" s="23" t="str">
        <x:f>IF(A75="","",IFERROR(VLOOKUP(G75,CatalogoCultivos!A:B,2,FALSE),""))</x:f>
      </x:c>
      <x:c r="I75" s="23" t="str">
        <x:f>IF(A75="","",IFERROR(VLOOKUP(G75,CatalogoCultivos!A:C,3,FALSE),""))</x:f>
      </x:c>
      <x:c r="J75" s="23" t="str">
        <x:f>IF(CultivosSembrados!A75="","",CultivosSembrados!G75)</x:f>
      </x:c>
      <x:c r="K75" s="23" t="str">
        <x:f>IF(CultivosSembrados!A75="","",CultivosSembrados!H75)</x:f>
      </x:c>
      <x:c r="L75" s="23" t="str">
        <x:f>IF(A75="","",IFERROR(CultivosSembrados!E75,""))</x:f>
      </x:c>
      <x:c r="M75" s="23" t="str">
        <x:f>IF(A75="","",IFERROR(CultivosSembrados!F75,""))</x:f>
      </x:c>
      <x:c r="N75" s="23" t="str">
        <x:f>IF(A75="","",IFERROR(CultivosSembrados!I75,""))</x:f>
      </x:c>
      <x:c r="O75" s="23" t="str">
        <x:f>IF(A75="","",IFERROR(CultivosSembrados!J75,""))</x:f>
      </x:c>
      <x:c r="P75" s="23" t="str">
        <x:f>IF(A75="","",IFERROR(CultivosSembrados!K75,""))</x:f>
      </x:c>
      <x:c r="Q75" s="23" t="str">
        <x:f>IF(O75&lt;&gt;"",TEXT(O75,"yyyy-mm"),"")</x:f>
      </x:c>
      <x:c r="R75" s="23" t="str">
        <x:f>IF(P75&lt;&gt;"",TEXT(P75,"yyyy-mm"),"")</x:f>
      </x:c>
      <x:c r="S75" s="23" t="str">
        <x:f>IF(O75&lt;&gt;"",O75-TODAY(),"")</x:f>
      </x:c>
      <x:c r="T75" s="23" t="str">
        <x:f>IF(A75="","",IF(N75="","Falta fecha base",IF(G75="","Falta cultivo",IF(D75="","Falta unidad","OK"))))</x:f>
      </x:c>
      <x:c r="U75" s="23" t="str">
        <x:f>IF(CultivosSembrados!A75="","",CultivosSembrados!L75)</x:f>
      </x:c>
      <x:c r="V75" s="23" t="str">
        <x:f>IF(CultivosSembrados!A75="","",CultivosSembrados!M75)</x:f>
      </x:c>
    </x:row>
    <x:row r="76">
      <x:c r="A76" s="23" t="str">
        <x:f>IF(CultivosSembrados!A76="","",CultivosSembrados!A76)</x:f>
      </x:c>
      <x:c r="B76" s="23" t="str">
        <x:f>IF(CultivosSembrados!A76="","",CultivosSembrados!B76)</x:f>
      </x:c>
      <x:c r="C76" s="23" t="str">
        <x:f>IF(A76="","",IFERROR(VLOOKUP(B76,Fincas!A:B,2,FALSE),""))</x:f>
      </x:c>
      <x:c r="D76" s="23" t="str">
        <x:f>IF(CultivosSembrados!A76="","",CultivosSembrados!C76)</x:f>
      </x:c>
      <x:c r="E76" s="23" t="str">
        <x:f>IF(A76="","",IFERROR(VLOOKUP(D76,Unidades!A:B,2,FALSE),""))</x:f>
      </x:c>
      <x:c r="F76" s="23" t="str">
        <x:f>IF(A76="","",IFERROR(VLOOKUP(D76,Unidades!A:D,4,FALSE),""))</x:f>
      </x:c>
      <x:c r="G76" s="23" t="str">
        <x:f>IF(CultivosSembrados!A76="","",CultivosSembrados!D76)</x:f>
      </x:c>
      <x:c r="H76" s="23" t="str">
        <x:f>IF(A76="","",IFERROR(VLOOKUP(G76,CatalogoCultivos!A:B,2,FALSE),""))</x:f>
      </x:c>
      <x:c r="I76" s="23" t="str">
        <x:f>IF(A76="","",IFERROR(VLOOKUP(G76,CatalogoCultivos!A:C,3,FALSE),""))</x:f>
      </x:c>
      <x:c r="J76" s="23" t="str">
        <x:f>IF(CultivosSembrados!A76="","",CultivosSembrados!G76)</x:f>
      </x:c>
      <x:c r="K76" s="23" t="str">
        <x:f>IF(CultivosSembrados!A76="","",CultivosSembrados!H76)</x:f>
      </x:c>
      <x:c r="L76" s="23" t="str">
        <x:f>IF(A76="","",IFERROR(CultivosSembrados!E76,""))</x:f>
      </x:c>
      <x:c r="M76" s="23" t="str">
        <x:f>IF(A76="","",IFERROR(CultivosSembrados!F76,""))</x:f>
      </x:c>
      <x:c r="N76" s="23" t="str">
        <x:f>IF(A76="","",IFERROR(CultivosSembrados!I76,""))</x:f>
      </x:c>
      <x:c r="O76" s="23" t="str">
        <x:f>IF(A76="","",IFERROR(CultivosSembrados!J76,""))</x:f>
      </x:c>
      <x:c r="P76" s="23" t="str">
        <x:f>IF(A76="","",IFERROR(CultivosSembrados!K76,""))</x:f>
      </x:c>
      <x:c r="Q76" s="23" t="str">
        <x:f>IF(O76&lt;&gt;"",TEXT(O76,"yyyy-mm"),"")</x:f>
      </x:c>
      <x:c r="R76" s="23" t="str">
        <x:f>IF(P76&lt;&gt;"",TEXT(P76,"yyyy-mm"),"")</x:f>
      </x:c>
      <x:c r="S76" s="23" t="str">
        <x:f>IF(O76&lt;&gt;"",O76-TODAY(),"")</x:f>
      </x:c>
      <x:c r="T76" s="23" t="str">
        <x:f>IF(A76="","",IF(N76="","Falta fecha base",IF(G76="","Falta cultivo",IF(D76="","Falta unidad","OK"))))</x:f>
      </x:c>
      <x:c r="U76" s="23" t="str">
        <x:f>IF(CultivosSembrados!A76="","",CultivosSembrados!L76)</x:f>
      </x:c>
      <x:c r="V76" s="23" t="str">
        <x:f>IF(CultivosSembrados!A76="","",CultivosSembrados!M76)</x:f>
      </x:c>
    </x:row>
    <x:row r="77">
      <x:c r="A77" s="23" t="str">
        <x:f>IF(CultivosSembrados!A77="","",CultivosSembrados!A77)</x:f>
      </x:c>
      <x:c r="B77" s="23" t="str">
        <x:f>IF(CultivosSembrados!A77="","",CultivosSembrados!B77)</x:f>
      </x:c>
      <x:c r="C77" s="23" t="str">
        <x:f>IF(A77="","",IFERROR(VLOOKUP(B77,Fincas!A:B,2,FALSE),""))</x:f>
      </x:c>
      <x:c r="D77" s="23" t="str">
        <x:f>IF(CultivosSembrados!A77="","",CultivosSembrados!C77)</x:f>
      </x:c>
      <x:c r="E77" s="23" t="str">
        <x:f>IF(A77="","",IFERROR(VLOOKUP(D77,Unidades!A:B,2,FALSE),""))</x:f>
      </x:c>
      <x:c r="F77" s="23" t="str">
        <x:f>IF(A77="","",IFERROR(VLOOKUP(D77,Unidades!A:D,4,FALSE),""))</x:f>
      </x:c>
      <x:c r="G77" s="23" t="str">
        <x:f>IF(CultivosSembrados!A77="","",CultivosSembrados!D77)</x:f>
      </x:c>
      <x:c r="H77" s="23" t="str">
        <x:f>IF(A77="","",IFERROR(VLOOKUP(G77,CatalogoCultivos!A:B,2,FALSE),""))</x:f>
      </x:c>
      <x:c r="I77" s="23" t="str">
        <x:f>IF(A77="","",IFERROR(VLOOKUP(G77,CatalogoCultivos!A:C,3,FALSE),""))</x:f>
      </x:c>
      <x:c r="J77" s="23" t="str">
        <x:f>IF(CultivosSembrados!A77="","",CultivosSembrados!G77)</x:f>
      </x:c>
      <x:c r="K77" s="23" t="str">
        <x:f>IF(CultivosSembrados!A77="","",CultivosSembrados!H77)</x:f>
      </x:c>
      <x:c r="L77" s="23" t="str">
        <x:f>IF(A77="","",IFERROR(CultivosSembrados!E77,""))</x:f>
      </x:c>
      <x:c r="M77" s="23" t="str">
        <x:f>IF(A77="","",IFERROR(CultivosSembrados!F77,""))</x:f>
      </x:c>
      <x:c r="N77" s="23" t="str">
        <x:f>IF(A77="","",IFERROR(CultivosSembrados!I77,""))</x:f>
      </x:c>
      <x:c r="O77" s="23" t="str">
        <x:f>IF(A77="","",IFERROR(CultivosSembrados!J77,""))</x:f>
      </x:c>
      <x:c r="P77" s="23" t="str">
        <x:f>IF(A77="","",IFERROR(CultivosSembrados!K77,""))</x:f>
      </x:c>
      <x:c r="Q77" s="23" t="str">
        <x:f>IF(O77&lt;&gt;"",TEXT(O77,"yyyy-mm"),"")</x:f>
      </x:c>
      <x:c r="R77" s="23" t="str">
        <x:f>IF(P77&lt;&gt;"",TEXT(P77,"yyyy-mm"),"")</x:f>
      </x:c>
      <x:c r="S77" s="23" t="str">
        <x:f>IF(O77&lt;&gt;"",O77-TODAY(),"")</x:f>
      </x:c>
      <x:c r="T77" s="23" t="str">
        <x:f>IF(A77="","",IF(N77="","Falta fecha base",IF(G77="","Falta cultivo",IF(D77="","Falta unidad","OK"))))</x:f>
      </x:c>
      <x:c r="U77" s="23" t="str">
        <x:f>IF(CultivosSembrados!A77="","",CultivosSembrados!L77)</x:f>
      </x:c>
      <x:c r="V77" s="23" t="str">
        <x:f>IF(CultivosSembrados!A77="","",CultivosSembrados!M77)</x:f>
      </x:c>
    </x:row>
    <x:row r="78">
      <x:c r="A78" s="23" t="str">
        <x:f>IF(CultivosSembrados!A78="","",CultivosSembrados!A78)</x:f>
      </x:c>
      <x:c r="B78" s="23" t="str">
        <x:f>IF(CultivosSembrados!A78="","",CultivosSembrados!B78)</x:f>
      </x:c>
      <x:c r="C78" s="23" t="str">
        <x:f>IF(A78="","",IFERROR(VLOOKUP(B78,Fincas!A:B,2,FALSE),""))</x:f>
      </x:c>
      <x:c r="D78" s="23" t="str">
        <x:f>IF(CultivosSembrados!A78="","",CultivosSembrados!C78)</x:f>
      </x:c>
      <x:c r="E78" s="23" t="str">
        <x:f>IF(A78="","",IFERROR(VLOOKUP(D78,Unidades!A:B,2,FALSE),""))</x:f>
      </x:c>
      <x:c r="F78" s="23" t="str">
        <x:f>IF(A78="","",IFERROR(VLOOKUP(D78,Unidades!A:D,4,FALSE),""))</x:f>
      </x:c>
      <x:c r="G78" s="23" t="str">
        <x:f>IF(CultivosSembrados!A78="","",CultivosSembrados!D78)</x:f>
      </x:c>
      <x:c r="H78" s="23" t="str">
        <x:f>IF(A78="","",IFERROR(VLOOKUP(G78,CatalogoCultivos!A:B,2,FALSE),""))</x:f>
      </x:c>
      <x:c r="I78" s="23" t="str">
        <x:f>IF(A78="","",IFERROR(VLOOKUP(G78,CatalogoCultivos!A:C,3,FALSE),""))</x:f>
      </x:c>
      <x:c r="J78" s="23" t="str">
        <x:f>IF(CultivosSembrados!A78="","",CultivosSembrados!G78)</x:f>
      </x:c>
      <x:c r="K78" s="23" t="str">
        <x:f>IF(CultivosSembrados!A78="","",CultivosSembrados!H78)</x:f>
      </x:c>
      <x:c r="L78" s="23" t="str">
        <x:f>IF(A78="","",IFERROR(CultivosSembrados!E78,""))</x:f>
      </x:c>
      <x:c r="M78" s="23" t="str">
        <x:f>IF(A78="","",IFERROR(CultivosSembrados!F78,""))</x:f>
      </x:c>
      <x:c r="N78" s="23" t="str">
        <x:f>IF(A78="","",IFERROR(CultivosSembrados!I78,""))</x:f>
      </x:c>
      <x:c r="O78" s="23" t="str">
        <x:f>IF(A78="","",IFERROR(CultivosSembrados!J78,""))</x:f>
      </x:c>
      <x:c r="P78" s="23" t="str">
        <x:f>IF(A78="","",IFERROR(CultivosSembrados!K78,""))</x:f>
      </x:c>
      <x:c r="Q78" s="23" t="str">
        <x:f>IF(O78&lt;&gt;"",TEXT(O78,"yyyy-mm"),"")</x:f>
      </x:c>
      <x:c r="R78" s="23" t="str">
        <x:f>IF(P78&lt;&gt;"",TEXT(P78,"yyyy-mm"),"")</x:f>
      </x:c>
      <x:c r="S78" s="23" t="str">
        <x:f>IF(O78&lt;&gt;"",O78-TODAY(),"")</x:f>
      </x:c>
      <x:c r="T78" s="23" t="str">
        <x:f>IF(A78="","",IF(N78="","Falta fecha base",IF(G78="","Falta cultivo",IF(D78="","Falta unidad","OK"))))</x:f>
      </x:c>
      <x:c r="U78" s="23" t="str">
        <x:f>IF(CultivosSembrados!A78="","",CultivosSembrados!L78)</x:f>
      </x:c>
      <x:c r="V78" s="23" t="str">
        <x:f>IF(CultivosSembrados!A78="","",CultivosSembrados!M78)</x:f>
      </x:c>
    </x:row>
    <x:row r="79">
      <x:c r="A79" s="23" t="str">
        <x:f>IF(CultivosSembrados!A79="","",CultivosSembrados!A79)</x:f>
      </x:c>
      <x:c r="B79" s="23" t="str">
        <x:f>IF(CultivosSembrados!A79="","",CultivosSembrados!B79)</x:f>
      </x:c>
      <x:c r="C79" s="23" t="str">
        <x:f>IF(A79="","",IFERROR(VLOOKUP(B79,Fincas!A:B,2,FALSE),""))</x:f>
      </x:c>
      <x:c r="D79" s="23" t="str">
        <x:f>IF(CultivosSembrados!A79="","",CultivosSembrados!C79)</x:f>
      </x:c>
      <x:c r="E79" s="23" t="str">
        <x:f>IF(A79="","",IFERROR(VLOOKUP(D79,Unidades!A:B,2,FALSE),""))</x:f>
      </x:c>
      <x:c r="F79" s="23" t="str">
        <x:f>IF(A79="","",IFERROR(VLOOKUP(D79,Unidades!A:D,4,FALSE),""))</x:f>
      </x:c>
      <x:c r="G79" s="23" t="str">
        <x:f>IF(CultivosSembrados!A79="","",CultivosSembrados!D79)</x:f>
      </x:c>
      <x:c r="H79" s="23" t="str">
        <x:f>IF(A79="","",IFERROR(VLOOKUP(G79,CatalogoCultivos!A:B,2,FALSE),""))</x:f>
      </x:c>
      <x:c r="I79" s="23" t="str">
        <x:f>IF(A79="","",IFERROR(VLOOKUP(G79,CatalogoCultivos!A:C,3,FALSE),""))</x:f>
      </x:c>
      <x:c r="J79" s="23" t="str">
        <x:f>IF(CultivosSembrados!A79="","",CultivosSembrados!G79)</x:f>
      </x:c>
      <x:c r="K79" s="23" t="str">
        <x:f>IF(CultivosSembrados!A79="","",CultivosSembrados!H79)</x:f>
      </x:c>
      <x:c r="L79" s="23" t="str">
        <x:f>IF(A79="","",IFERROR(CultivosSembrados!E79,""))</x:f>
      </x:c>
      <x:c r="M79" s="23" t="str">
        <x:f>IF(A79="","",IFERROR(CultivosSembrados!F79,""))</x:f>
      </x:c>
      <x:c r="N79" s="23" t="str">
        <x:f>IF(A79="","",IFERROR(CultivosSembrados!I79,""))</x:f>
      </x:c>
      <x:c r="O79" s="23" t="str">
        <x:f>IF(A79="","",IFERROR(CultivosSembrados!J79,""))</x:f>
      </x:c>
      <x:c r="P79" s="23" t="str">
        <x:f>IF(A79="","",IFERROR(CultivosSembrados!K79,""))</x:f>
      </x:c>
      <x:c r="Q79" s="23" t="str">
        <x:f>IF(O79&lt;&gt;"",TEXT(O79,"yyyy-mm"),"")</x:f>
      </x:c>
      <x:c r="R79" s="23" t="str">
        <x:f>IF(P79&lt;&gt;"",TEXT(P79,"yyyy-mm"),"")</x:f>
      </x:c>
      <x:c r="S79" s="23" t="str">
        <x:f>IF(O79&lt;&gt;"",O79-TODAY(),"")</x:f>
      </x:c>
      <x:c r="T79" s="23" t="str">
        <x:f>IF(A79="","",IF(N79="","Falta fecha base",IF(G79="","Falta cultivo",IF(D79="","Falta unidad","OK"))))</x:f>
      </x:c>
      <x:c r="U79" s="23" t="str">
        <x:f>IF(CultivosSembrados!A79="","",CultivosSembrados!L79)</x:f>
      </x:c>
      <x:c r="V79" s="23" t="str">
        <x:f>IF(CultivosSembrados!A79="","",CultivosSembrados!M79)</x:f>
      </x:c>
    </x:row>
    <x:row r="80">
      <x:c r="A80" s="23" t="str">
        <x:f>IF(CultivosSembrados!A80="","",CultivosSembrados!A80)</x:f>
      </x:c>
      <x:c r="B80" s="23" t="str">
        <x:f>IF(CultivosSembrados!A80="","",CultivosSembrados!B80)</x:f>
      </x:c>
      <x:c r="C80" s="23" t="str">
        <x:f>IF(A80="","",IFERROR(VLOOKUP(B80,Fincas!A:B,2,FALSE),""))</x:f>
      </x:c>
      <x:c r="D80" s="23" t="str">
        <x:f>IF(CultivosSembrados!A80="","",CultivosSembrados!C80)</x:f>
      </x:c>
      <x:c r="E80" s="23" t="str">
        <x:f>IF(A80="","",IFERROR(VLOOKUP(D80,Unidades!A:B,2,FALSE),""))</x:f>
      </x:c>
      <x:c r="F80" s="23" t="str">
        <x:f>IF(A80="","",IFERROR(VLOOKUP(D80,Unidades!A:D,4,FALSE),""))</x:f>
      </x:c>
      <x:c r="G80" s="23" t="str">
        <x:f>IF(CultivosSembrados!A80="","",CultivosSembrados!D80)</x:f>
      </x:c>
      <x:c r="H80" s="23" t="str">
        <x:f>IF(A80="","",IFERROR(VLOOKUP(G80,CatalogoCultivos!A:B,2,FALSE),""))</x:f>
      </x:c>
      <x:c r="I80" s="23" t="str">
        <x:f>IF(A80="","",IFERROR(VLOOKUP(G80,CatalogoCultivos!A:C,3,FALSE),""))</x:f>
      </x:c>
      <x:c r="J80" s="23" t="str">
        <x:f>IF(CultivosSembrados!A80="","",CultivosSembrados!G80)</x:f>
      </x:c>
      <x:c r="K80" s="23" t="str">
        <x:f>IF(CultivosSembrados!A80="","",CultivosSembrados!H80)</x:f>
      </x:c>
      <x:c r="L80" s="23" t="str">
        <x:f>IF(A80="","",IFERROR(CultivosSembrados!E80,""))</x:f>
      </x:c>
      <x:c r="M80" s="23" t="str">
        <x:f>IF(A80="","",IFERROR(CultivosSembrados!F80,""))</x:f>
      </x:c>
      <x:c r="N80" s="23" t="str">
        <x:f>IF(A80="","",IFERROR(CultivosSembrados!I80,""))</x:f>
      </x:c>
      <x:c r="O80" s="23" t="str">
        <x:f>IF(A80="","",IFERROR(CultivosSembrados!J80,""))</x:f>
      </x:c>
      <x:c r="P80" s="23" t="str">
        <x:f>IF(A80="","",IFERROR(CultivosSembrados!K80,""))</x:f>
      </x:c>
      <x:c r="Q80" s="23" t="str">
        <x:f>IF(O80&lt;&gt;"",TEXT(O80,"yyyy-mm"),"")</x:f>
      </x:c>
      <x:c r="R80" s="23" t="str">
        <x:f>IF(P80&lt;&gt;"",TEXT(P80,"yyyy-mm"),"")</x:f>
      </x:c>
      <x:c r="S80" s="23" t="str">
        <x:f>IF(O80&lt;&gt;"",O80-TODAY(),"")</x:f>
      </x:c>
      <x:c r="T80" s="23" t="str">
        <x:f>IF(A80="","",IF(N80="","Falta fecha base",IF(G80="","Falta cultivo",IF(D80="","Falta unidad","OK"))))</x:f>
      </x:c>
      <x:c r="U80" s="23" t="str">
        <x:f>IF(CultivosSembrados!A80="","",CultivosSembrados!L80)</x:f>
      </x:c>
      <x:c r="V80" s="23" t="str">
        <x:f>IF(CultivosSembrados!A80="","",CultivosSembrados!M80)</x:f>
      </x:c>
    </x:row>
    <x:row r="81">
      <x:c r="A81" s="23" t="str">
        <x:f>IF(CultivosSembrados!A81="","",CultivosSembrados!A81)</x:f>
      </x:c>
      <x:c r="B81" s="23" t="str">
        <x:f>IF(CultivosSembrados!A81="","",CultivosSembrados!B81)</x:f>
      </x:c>
      <x:c r="C81" s="23" t="str">
        <x:f>IF(A81="","",IFERROR(VLOOKUP(B81,Fincas!A:B,2,FALSE),""))</x:f>
      </x:c>
      <x:c r="D81" s="23" t="str">
        <x:f>IF(CultivosSembrados!A81="","",CultivosSembrados!C81)</x:f>
      </x:c>
      <x:c r="E81" s="23" t="str">
        <x:f>IF(A81="","",IFERROR(VLOOKUP(D81,Unidades!A:B,2,FALSE),""))</x:f>
      </x:c>
      <x:c r="F81" s="23" t="str">
        <x:f>IF(A81="","",IFERROR(VLOOKUP(D81,Unidades!A:D,4,FALSE),""))</x:f>
      </x:c>
      <x:c r="G81" s="23" t="str">
        <x:f>IF(CultivosSembrados!A81="","",CultivosSembrados!D81)</x:f>
      </x:c>
      <x:c r="H81" s="23" t="str">
        <x:f>IF(A81="","",IFERROR(VLOOKUP(G81,CatalogoCultivos!A:B,2,FALSE),""))</x:f>
      </x:c>
      <x:c r="I81" s="23" t="str">
        <x:f>IF(A81="","",IFERROR(VLOOKUP(G81,CatalogoCultivos!A:C,3,FALSE),""))</x:f>
      </x:c>
      <x:c r="J81" s="23" t="str">
        <x:f>IF(CultivosSembrados!A81="","",CultivosSembrados!G81)</x:f>
      </x:c>
      <x:c r="K81" s="23" t="str">
        <x:f>IF(CultivosSembrados!A81="","",CultivosSembrados!H81)</x:f>
      </x:c>
      <x:c r="L81" s="23" t="str">
        <x:f>IF(A81="","",IFERROR(CultivosSembrados!E81,""))</x:f>
      </x:c>
      <x:c r="M81" s="23" t="str">
        <x:f>IF(A81="","",IFERROR(CultivosSembrados!F81,""))</x:f>
      </x:c>
      <x:c r="N81" s="23" t="str">
        <x:f>IF(A81="","",IFERROR(CultivosSembrados!I81,""))</x:f>
      </x:c>
      <x:c r="O81" s="23" t="str">
        <x:f>IF(A81="","",IFERROR(CultivosSembrados!J81,""))</x:f>
      </x:c>
      <x:c r="P81" s="23" t="str">
        <x:f>IF(A81="","",IFERROR(CultivosSembrados!K81,""))</x:f>
      </x:c>
      <x:c r="Q81" s="23" t="str">
        <x:f>IF(O81&lt;&gt;"",TEXT(O81,"yyyy-mm"),"")</x:f>
      </x:c>
      <x:c r="R81" s="23" t="str">
        <x:f>IF(P81&lt;&gt;"",TEXT(P81,"yyyy-mm"),"")</x:f>
      </x:c>
      <x:c r="S81" s="23" t="str">
        <x:f>IF(O81&lt;&gt;"",O81-TODAY(),"")</x:f>
      </x:c>
      <x:c r="T81" s="23" t="str">
        <x:f>IF(A81="","",IF(N81="","Falta fecha base",IF(G81="","Falta cultivo",IF(D81="","Falta unidad","OK"))))</x:f>
      </x:c>
      <x:c r="U81" s="23" t="str">
        <x:f>IF(CultivosSembrados!A81="","",CultivosSembrados!L81)</x:f>
      </x:c>
      <x:c r="V81" s="23" t="str">
        <x:f>IF(CultivosSembrados!A81="","",CultivosSembrados!M81)</x:f>
      </x:c>
    </x:row>
    <x:row r="82">
      <x:c r="A82" s="23" t="str">
        <x:f>IF(CultivosSembrados!A82="","",CultivosSembrados!A82)</x:f>
      </x:c>
      <x:c r="B82" s="23" t="str">
        <x:f>IF(CultivosSembrados!A82="","",CultivosSembrados!B82)</x:f>
      </x:c>
      <x:c r="C82" s="23" t="str">
        <x:f>IF(A82="","",IFERROR(VLOOKUP(B82,Fincas!A:B,2,FALSE),""))</x:f>
      </x:c>
      <x:c r="D82" s="23" t="str">
        <x:f>IF(CultivosSembrados!A82="","",CultivosSembrados!C82)</x:f>
      </x:c>
      <x:c r="E82" s="23" t="str">
        <x:f>IF(A82="","",IFERROR(VLOOKUP(D82,Unidades!A:B,2,FALSE),""))</x:f>
      </x:c>
      <x:c r="F82" s="23" t="str">
        <x:f>IF(A82="","",IFERROR(VLOOKUP(D82,Unidades!A:D,4,FALSE),""))</x:f>
      </x:c>
      <x:c r="G82" s="23" t="str">
        <x:f>IF(CultivosSembrados!A82="","",CultivosSembrados!D82)</x:f>
      </x:c>
      <x:c r="H82" s="23" t="str">
        <x:f>IF(A82="","",IFERROR(VLOOKUP(G82,CatalogoCultivos!A:B,2,FALSE),""))</x:f>
      </x:c>
      <x:c r="I82" s="23" t="str">
        <x:f>IF(A82="","",IFERROR(VLOOKUP(G82,CatalogoCultivos!A:C,3,FALSE),""))</x:f>
      </x:c>
      <x:c r="J82" s="23" t="str">
        <x:f>IF(CultivosSembrados!A82="","",CultivosSembrados!G82)</x:f>
      </x:c>
      <x:c r="K82" s="23" t="str">
        <x:f>IF(CultivosSembrados!A82="","",CultivosSembrados!H82)</x:f>
      </x:c>
      <x:c r="L82" s="23" t="str">
        <x:f>IF(A82="","",IFERROR(CultivosSembrados!E82,""))</x:f>
      </x:c>
      <x:c r="M82" s="23" t="str">
        <x:f>IF(A82="","",IFERROR(CultivosSembrados!F82,""))</x:f>
      </x:c>
      <x:c r="N82" s="23" t="str">
        <x:f>IF(A82="","",IFERROR(CultivosSembrados!I82,""))</x:f>
      </x:c>
      <x:c r="O82" s="23" t="str">
        <x:f>IF(A82="","",IFERROR(CultivosSembrados!J82,""))</x:f>
      </x:c>
      <x:c r="P82" s="23" t="str">
        <x:f>IF(A82="","",IFERROR(CultivosSembrados!K82,""))</x:f>
      </x:c>
      <x:c r="Q82" s="23" t="str">
        <x:f>IF(O82&lt;&gt;"",TEXT(O82,"yyyy-mm"),"")</x:f>
      </x:c>
      <x:c r="R82" s="23" t="str">
        <x:f>IF(P82&lt;&gt;"",TEXT(P82,"yyyy-mm"),"")</x:f>
      </x:c>
      <x:c r="S82" s="23" t="str">
        <x:f>IF(O82&lt;&gt;"",O82-TODAY(),"")</x:f>
      </x:c>
      <x:c r="T82" s="23" t="str">
        <x:f>IF(A82="","",IF(N82="","Falta fecha base",IF(G82="","Falta cultivo",IF(D82="","Falta unidad","OK"))))</x:f>
      </x:c>
      <x:c r="U82" s="23" t="str">
        <x:f>IF(CultivosSembrados!A82="","",CultivosSembrados!L82)</x:f>
      </x:c>
      <x:c r="V82" s="23" t="str">
        <x:f>IF(CultivosSembrados!A82="","",CultivosSembrados!M82)</x:f>
      </x:c>
    </x:row>
    <x:row r="83">
      <x:c r="A83" s="23" t="str">
        <x:f>IF(CultivosSembrados!A83="","",CultivosSembrados!A83)</x:f>
      </x:c>
      <x:c r="B83" s="23" t="str">
        <x:f>IF(CultivosSembrados!A83="","",CultivosSembrados!B83)</x:f>
      </x:c>
      <x:c r="C83" s="23" t="str">
        <x:f>IF(A83="","",IFERROR(VLOOKUP(B83,Fincas!A:B,2,FALSE),""))</x:f>
      </x:c>
      <x:c r="D83" s="23" t="str">
        <x:f>IF(CultivosSembrados!A83="","",CultivosSembrados!C83)</x:f>
      </x:c>
      <x:c r="E83" s="23" t="str">
        <x:f>IF(A83="","",IFERROR(VLOOKUP(D83,Unidades!A:B,2,FALSE),""))</x:f>
      </x:c>
      <x:c r="F83" s="23" t="str">
        <x:f>IF(A83="","",IFERROR(VLOOKUP(D83,Unidades!A:D,4,FALSE),""))</x:f>
      </x:c>
      <x:c r="G83" s="23" t="str">
        <x:f>IF(CultivosSembrados!A83="","",CultivosSembrados!D83)</x:f>
      </x:c>
      <x:c r="H83" s="23" t="str">
        <x:f>IF(A83="","",IFERROR(VLOOKUP(G83,CatalogoCultivos!A:B,2,FALSE),""))</x:f>
      </x:c>
      <x:c r="I83" s="23" t="str">
        <x:f>IF(A83="","",IFERROR(VLOOKUP(G83,CatalogoCultivos!A:C,3,FALSE),""))</x:f>
      </x:c>
      <x:c r="J83" s="23" t="str">
        <x:f>IF(CultivosSembrados!A83="","",CultivosSembrados!G83)</x:f>
      </x:c>
      <x:c r="K83" s="23" t="str">
        <x:f>IF(CultivosSembrados!A83="","",CultivosSembrados!H83)</x:f>
      </x:c>
      <x:c r="L83" s="23" t="str">
        <x:f>IF(A83="","",IFERROR(CultivosSembrados!E83,""))</x:f>
      </x:c>
      <x:c r="M83" s="23" t="str">
        <x:f>IF(A83="","",IFERROR(CultivosSembrados!F83,""))</x:f>
      </x:c>
      <x:c r="N83" s="23" t="str">
        <x:f>IF(A83="","",IFERROR(CultivosSembrados!I83,""))</x:f>
      </x:c>
      <x:c r="O83" s="23" t="str">
        <x:f>IF(A83="","",IFERROR(CultivosSembrados!J83,""))</x:f>
      </x:c>
      <x:c r="P83" s="23" t="str">
        <x:f>IF(A83="","",IFERROR(CultivosSembrados!K83,""))</x:f>
      </x:c>
      <x:c r="Q83" s="23" t="str">
        <x:f>IF(O83&lt;&gt;"",TEXT(O83,"yyyy-mm"),"")</x:f>
      </x:c>
      <x:c r="R83" s="23" t="str">
        <x:f>IF(P83&lt;&gt;"",TEXT(P83,"yyyy-mm"),"")</x:f>
      </x:c>
      <x:c r="S83" s="23" t="str">
        <x:f>IF(O83&lt;&gt;"",O83-TODAY(),"")</x:f>
      </x:c>
      <x:c r="T83" s="23" t="str">
        <x:f>IF(A83="","",IF(N83="","Falta fecha base",IF(G83="","Falta cultivo",IF(D83="","Falta unidad","OK"))))</x:f>
      </x:c>
      <x:c r="U83" s="23" t="str">
        <x:f>IF(CultivosSembrados!A83="","",CultivosSembrados!L83)</x:f>
      </x:c>
      <x:c r="V83" s="23" t="str">
        <x:f>IF(CultivosSembrados!A83="","",CultivosSembrados!M83)</x:f>
      </x:c>
    </x:row>
    <x:row r="84">
      <x:c r="A84" s="23" t="str">
        <x:f>IF(CultivosSembrados!A84="","",CultivosSembrados!A84)</x:f>
      </x:c>
      <x:c r="B84" s="23" t="str">
        <x:f>IF(CultivosSembrados!A84="","",CultivosSembrados!B84)</x:f>
      </x:c>
      <x:c r="C84" s="23" t="str">
        <x:f>IF(A84="","",IFERROR(VLOOKUP(B84,Fincas!A:B,2,FALSE),""))</x:f>
      </x:c>
      <x:c r="D84" s="23" t="str">
        <x:f>IF(CultivosSembrados!A84="","",CultivosSembrados!C84)</x:f>
      </x:c>
      <x:c r="E84" s="23" t="str">
        <x:f>IF(A84="","",IFERROR(VLOOKUP(D84,Unidades!A:B,2,FALSE),""))</x:f>
      </x:c>
      <x:c r="F84" s="23" t="str">
        <x:f>IF(A84="","",IFERROR(VLOOKUP(D84,Unidades!A:D,4,FALSE),""))</x:f>
      </x:c>
      <x:c r="G84" s="23" t="str">
        <x:f>IF(CultivosSembrados!A84="","",CultivosSembrados!D84)</x:f>
      </x:c>
      <x:c r="H84" s="23" t="str">
        <x:f>IF(A84="","",IFERROR(VLOOKUP(G84,CatalogoCultivos!A:B,2,FALSE),""))</x:f>
      </x:c>
      <x:c r="I84" s="23" t="str">
        <x:f>IF(A84="","",IFERROR(VLOOKUP(G84,CatalogoCultivos!A:C,3,FALSE),""))</x:f>
      </x:c>
      <x:c r="J84" s="23" t="str">
        <x:f>IF(CultivosSembrados!A84="","",CultivosSembrados!G84)</x:f>
      </x:c>
      <x:c r="K84" s="23" t="str">
        <x:f>IF(CultivosSembrados!A84="","",CultivosSembrados!H84)</x:f>
      </x:c>
      <x:c r="L84" s="23" t="str">
        <x:f>IF(A84="","",IFERROR(CultivosSembrados!E84,""))</x:f>
      </x:c>
      <x:c r="M84" s="23" t="str">
        <x:f>IF(A84="","",IFERROR(CultivosSembrados!F84,""))</x:f>
      </x:c>
      <x:c r="N84" s="23" t="str">
        <x:f>IF(A84="","",IFERROR(CultivosSembrados!I84,""))</x:f>
      </x:c>
      <x:c r="O84" s="23" t="str">
        <x:f>IF(A84="","",IFERROR(CultivosSembrados!J84,""))</x:f>
      </x:c>
      <x:c r="P84" s="23" t="str">
        <x:f>IF(A84="","",IFERROR(CultivosSembrados!K84,""))</x:f>
      </x:c>
      <x:c r="Q84" s="23" t="str">
        <x:f>IF(O84&lt;&gt;"",TEXT(O84,"yyyy-mm"),"")</x:f>
      </x:c>
      <x:c r="R84" s="23" t="str">
        <x:f>IF(P84&lt;&gt;"",TEXT(P84,"yyyy-mm"),"")</x:f>
      </x:c>
      <x:c r="S84" s="23" t="str">
        <x:f>IF(O84&lt;&gt;"",O84-TODAY(),"")</x:f>
      </x:c>
      <x:c r="T84" s="23" t="str">
        <x:f>IF(A84="","",IF(N84="","Falta fecha base",IF(G84="","Falta cultivo",IF(D84="","Falta unidad","OK"))))</x:f>
      </x:c>
      <x:c r="U84" s="23" t="str">
        <x:f>IF(CultivosSembrados!A84="","",CultivosSembrados!L84)</x:f>
      </x:c>
      <x:c r="V84" s="23" t="str">
        <x:f>IF(CultivosSembrados!A84="","",CultivosSembrados!M84)</x:f>
      </x:c>
    </x:row>
    <x:row r="85">
      <x:c r="A85" s="23" t="str">
        <x:f>IF(CultivosSembrados!A85="","",CultivosSembrados!A85)</x:f>
      </x:c>
      <x:c r="B85" s="23" t="str">
        <x:f>IF(CultivosSembrados!A85="","",CultivosSembrados!B85)</x:f>
      </x:c>
      <x:c r="C85" s="23" t="str">
        <x:f>IF(A85="","",IFERROR(VLOOKUP(B85,Fincas!A:B,2,FALSE),""))</x:f>
      </x:c>
      <x:c r="D85" s="23" t="str">
        <x:f>IF(CultivosSembrados!A85="","",CultivosSembrados!C85)</x:f>
      </x:c>
      <x:c r="E85" s="23" t="str">
        <x:f>IF(A85="","",IFERROR(VLOOKUP(D85,Unidades!A:B,2,FALSE),""))</x:f>
      </x:c>
      <x:c r="F85" s="23" t="str">
        <x:f>IF(A85="","",IFERROR(VLOOKUP(D85,Unidades!A:D,4,FALSE),""))</x:f>
      </x:c>
      <x:c r="G85" s="23" t="str">
        <x:f>IF(CultivosSembrados!A85="","",CultivosSembrados!D85)</x:f>
      </x:c>
      <x:c r="H85" s="23" t="str">
        <x:f>IF(A85="","",IFERROR(VLOOKUP(G85,CatalogoCultivos!A:B,2,FALSE),""))</x:f>
      </x:c>
      <x:c r="I85" s="23" t="str">
        <x:f>IF(A85="","",IFERROR(VLOOKUP(G85,CatalogoCultivos!A:C,3,FALSE),""))</x:f>
      </x:c>
      <x:c r="J85" s="23" t="str">
        <x:f>IF(CultivosSembrados!A85="","",CultivosSembrados!G85)</x:f>
      </x:c>
      <x:c r="K85" s="23" t="str">
        <x:f>IF(CultivosSembrados!A85="","",CultivosSembrados!H85)</x:f>
      </x:c>
      <x:c r="L85" s="23" t="str">
        <x:f>IF(A85="","",IFERROR(CultivosSembrados!E85,""))</x:f>
      </x:c>
      <x:c r="M85" s="23" t="str">
        <x:f>IF(A85="","",IFERROR(CultivosSembrados!F85,""))</x:f>
      </x:c>
      <x:c r="N85" s="23" t="str">
        <x:f>IF(A85="","",IFERROR(CultivosSembrados!I85,""))</x:f>
      </x:c>
      <x:c r="O85" s="23" t="str">
        <x:f>IF(A85="","",IFERROR(CultivosSembrados!J85,""))</x:f>
      </x:c>
      <x:c r="P85" s="23" t="str">
        <x:f>IF(A85="","",IFERROR(CultivosSembrados!K85,""))</x:f>
      </x:c>
      <x:c r="Q85" s="23" t="str">
        <x:f>IF(O85&lt;&gt;"",TEXT(O85,"yyyy-mm"),"")</x:f>
      </x:c>
      <x:c r="R85" s="23" t="str">
        <x:f>IF(P85&lt;&gt;"",TEXT(P85,"yyyy-mm"),"")</x:f>
      </x:c>
      <x:c r="S85" s="23" t="str">
        <x:f>IF(O85&lt;&gt;"",O85-TODAY(),"")</x:f>
      </x:c>
      <x:c r="T85" s="23" t="str">
        <x:f>IF(A85="","",IF(N85="","Falta fecha base",IF(G85="","Falta cultivo",IF(D85="","Falta unidad","OK"))))</x:f>
      </x:c>
      <x:c r="U85" s="23" t="str">
        <x:f>IF(CultivosSembrados!A85="","",CultivosSembrados!L85)</x:f>
      </x:c>
      <x:c r="V85" s="23" t="str">
        <x:f>IF(CultivosSembrados!A85="","",CultivosSembrados!M85)</x:f>
      </x:c>
    </x:row>
    <x:row r="86">
      <x:c r="A86" s="23" t="str">
        <x:f>IF(CultivosSembrados!A86="","",CultivosSembrados!A86)</x:f>
      </x:c>
      <x:c r="B86" s="23" t="str">
        <x:f>IF(CultivosSembrados!A86="","",CultivosSembrados!B86)</x:f>
      </x:c>
      <x:c r="C86" s="23" t="str">
        <x:f>IF(A86="","",IFERROR(VLOOKUP(B86,Fincas!A:B,2,FALSE),""))</x:f>
      </x:c>
      <x:c r="D86" s="23" t="str">
        <x:f>IF(CultivosSembrados!A86="","",CultivosSembrados!C86)</x:f>
      </x:c>
      <x:c r="E86" s="23" t="str">
        <x:f>IF(A86="","",IFERROR(VLOOKUP(D86,Unidades!A:B,2,FALSE),""))</x:f>
      </x:c>
      <x:c r="F86" s="23" t="str">
        <x:f>IF(A86="","",IFERROR(VLOOKUP(D86,Unidades!A:D,4,FALSE),""))</x:f>
      </x:c>
      <x:c r="G86" s="23" t="str">
        <x:f>IF(CultivosSembrados!A86="","",CultivosSembrados!D86)</x:f>
      </x:c>
      <x:c r="H86" s="23" t="str">
        <x:f>IF(A86="","",IFERROR(VLOOKUP(G86,CatalogoCultivos!A:B,2,FALSE),""))</x:f>
      </x:c>
      <x:c r="I86" s="23" t="str">
        <x:f>IF(A86="","",IFERROR(VLOOKUP(G86,CatalogoCultivos!A:C,3,FALSE),""))</x:f>
      </x:c>
      <x:c r="J86" s="23" t="str">
        <x:f>IF(CultivosSembrados!A86="","",CultivosSembrados!G86)</x:f>
      </x:c>
      <x:c r="K86" s="23" t="str">
        <x:f>IF(CultivosSembrados!A86="","",CultivosSembrados!H86)</x:f>
      </x:c>
      <x:c r="L86" s="23" t="str">
        <x:f>IF(A86="","",IFERROR(CultivosSembrados!E86,""))</x:f>
      </x:c>
      <x:c r="M86" s="23" t="str">
        <x:f>IF(A86="","",IFERROR(CultivosSembrados!F86,""))</x:f>
      </x:c>
      <x:c r="N86" s="23" t="str">
        <x:f>IF(A86="","",IFERROR(CultivosSembrados!I86,""))</x:f>
      </x:c>
      <x:c r="O86" s="23" t="str">
        <x:f>IF(A86="","",IFERROR(CultivosSembrados!J86,""))</x:f>
      </x:c>
      <x:c r="P86" s="23" t="str">
        <x:f>IF(A86="","",IFERROR(CultivosSembrados!K86,""))</x:f>
      </x:c>
      <x:c r="Q86" s="23" t="str">
        <x:f>IF(O86&lt;&gt;"",TEXT(O86,"yyyy-mm"),"")</x:f>
      </x:c>
      <x:c r="R86" s="23" t="str">
        <x:f>IF(P86&lt;&gt;"",TEXT(P86,"yyyy-mm"),"")</x:f>
      </x:c>
      <x:c r="S86" s="23" t="str">
        <x:f>IF(O86&lt;&gt;"",O86-TODAY(),"")</x:f>
      </x:c>
      <x:c r="T86" s="23" t="str">
        <x:f>IF(A86="","",IF(N86="","Falta fecha base",IF(G86="","Falta cultivo",IF(D86="","Falta unidad","OK"))))</x:f>
      </x:c>
      <x:c r="U86" s="23" t="str">
        <x:f>IF(CultivosSembrados!A86="","",CultivosSembrados!L86)</x:f>
      </x:c>
      <x:c r="V86" s="23" t="str">
        <x:f>IF(CultivosSembrados!A86="","",CultivosSembrados!M86)</x:f>
      </x:c>
    </x:row>
    <x:row r="87">
      <x:c r="A87" s="23" t="str">
        <x:f>IF(CultivosSembrados!A87="","",CultivosSembrados!A87)</x:f>
      </x:c>
      <x:c r="B87" s="23" t="str">
        <x:f>IF(CultivosSembrados!A87="","",CultivosSembrados!B87)</x:f>
      </x:c>
      <x:c r="C87" s="23" t="str">
        <x:f>IF(A87="","",IFERROR(VLOOKUP(B87,Fincas!A:B,2,FALSE),""))</x:f>
      </x:c>
      <x:c r="D87" s="23" t="str">
        <x:f>IF(CultivosSembrados!A87="","",CultivosSembrados!C87)</x:f>
      </x:c>
      <x:c r="E87" s="23" t="str">
        <x:f>IF(A87="","",IFERROR(VLOOKUP(D87,Unidades!A:B,2,FALSE),""))</x:f>
      </x:c>
      <x:c r="F87" s="23" t="str">
        <x:f>IF(A87="","",IFERROR(VLOOKUP(D87,Unidades!A:D,4,FALSE),""))</x:f>
      </x:c>
      <x:c r="G87" s="23" t="str">
        <x:f>IF(CultivosSembrados!A87="","",CultivosSembrados!D87)</x:f>
      </x:c>
      <x:c r="H87" s="23" t="str">
        <x:f>IF(A87="","",IFERROR(VLOOKUP(G87,CatalogoCultivos!A:B,2,FALSE),""))</x:f>
      </x:c>
      <x:c r="I87" s="23" t="str">
        <x:f>IF(A87="","",IFERROR(VLOOKUP(G87,CatalogoCultivos!A:C,3,FALSE),""))</x:f>
      </x:c>
      <x:c r="J87" s="23" t="str">
        <x:f>IF(CultivosSembrados!A87="","",CultivosSembrados!G87)</x:f>
      </x:c>
      <x:c r="K87" s="23" t="str">
        <x:f>IF(CultivosSembrados!A87="","",CultivosSembrados!H87)</x:f>
      </x:c>
      <x:c r="L87" s="23" t="str">
        <x:f>IF(A87="","",IFERROR(CultivosSembrados!E87,""))</x:f>
      </x:c>
      <x:c r="M87" s="23" t="str">
        <x:f>IF(A87="","",IFERROR(CultivosSembrados!F87,""))</x:f>
      </x:c>
      <x:c r="N87" s="23" t="str">
        <x:f>IF(A87="","",IFERROR(CultivosSembrados!I87,""))</x:f>
      </x:c>
      <x:c r="O87" s="23" t="str">
        <x:f>IF(A87="","",IFERROR(CultivosSembrados!J87,""))</x:f>
      </x:c>
      <x:c r="P87" s="23" t="str">
        <x:f>IF(A87="","",IFERROR(CultivosSembrados!K87,""))</x:f>
      </x:c>
      <x:c r="Q87" s="23" t="str">
        <x:f>IF(O87&lt;&gt;"",TEXT(O87,"yyyy-mm"),"")</x:f>
      </x:c>
      <x:c r="R87" s="23" t="str">
        <x:f>IF(P87&lt;&gt;"",TEXT(P87,"yyyy-mm"),"")</x:f>
      </x:c>
      <x:c r="S87" s="23" t="str">
        <x:f>IF(O87&lt;&gt;"",O87-TODAY(),"")</x:f>
      </x:c>
      <x:c r="T87" s="23" t="str">
        <x:f>IF(A87="","",IF(N87="","Falta fecha base",IF(G87="","Falta cultivo",IF(D87="","Falta unidad","OK"))))</x:f>
      </x:c>
      <x:c r="U87" s="23" t="str">
        <x:f>IF(CultivosSembrados!A87="","",CultivosSembrados!L87)</x:f>
      </x:c>
      <x:c r="V87" s="23" t="str">
        <x:f>IF(CultivosSembrados!A87="","",CultivosSembrados!M87)</x:f>
      </x:c>
    </x:row>
    <x:row r="88">
      <x:c r="A88" s="23" t="str">
        <x:f>IF(CultivosSembrados!A88="","",CultivosSembrados!A88)</x:f>
      </x:c>
      <x:c r="B88" s="23" t="str">
        <x:f>IF(CultivosSembrados!A88="","",CultivosSembrados!B88)</x:f>
      </x:c>
      <x:c r="C88" s="23" t="str">
        <x:f>IF(A88="","",IFERROR(VLOOKUP(B88,Fincas!A:B,2,FALSE),""))</x:f>
      </x:c>
      <x:c r="D88" s="23" t="str">
        <x:f>IF(CultivosSembrados!A88="","",CultivosSembrados!C88)</x:f>
      </x:c>
      <x:c r="E88" s="23" t="str">
        <x:f>IF(A88="","",IFERROR(VLOOKUP(D88,Unidades!A:B,2,FALSE),""))</x:f>
      </x:c>
      <x:c r="F88" s="23" t="str">
        <x:f>IF(A88="","",IFERROR(VLOOKUP(D88,Unidades!A:D,4,FALSE),""))</x:f>
      </x:c>
      <x:c r="G88" s="23" t="str">
        <x:f>IF(CultivosSembrados!A88="","",CultivosSembrados!D88)</x:f>
      </x:c>
      <x:c r="H88" s="23" t="str">
        <x:f>IF(A88="","",IFERROR(VLOOKUP(G88,CatalogoCultivos!A:B,2,FALSE),""))</x:f>
      </x:c>
      <x:c r="I88" s="23" t="str">
        <x:f>IF(A88="","",IFERROR(VLOOKUP(G88,CatalogoCultivos!A:C,3,FALSE),""))</x:f>
      </x:c>
      <x:c r="J88" s="23" t="str">
        <x:f>IF(CultivosSembrados!A88="","",CultivosSembrados!G88)</x:f>
      </x:c>
      <x:c r="K88" s="23" t="str">
        <x:f>IF(CultivosSembrados!A88="","",CultivosSembrados!H88)</x:f>
      </x:c>
      <x:c r="L88" s="23" t="str">
        <x:f>IF(A88="","",IFERROR(CultivosSembrados!E88,""))</x:f>
      </x:c>
      <x:c r="M88" s="23" t="str">
        <x:f>IF(A88="","",IFERROR(CultivosSembrados!F88,""))</x:f>
      </x:c>
      <x:c r="N88" s="23" t="str">
        <x:f>IF(A88="","",IFERROR(CultivosSembrados!I88,""))</x:f>
      </x:c>
      <x:c r="O88" s="23" t="str">
        <x:f>IF(A88="","",IFERROR(CultivosSembrados!J88,""))</x:f>
      </x:c>
      <x:c r="P88" s="23" t="str">
        <x:f>IF(A88="","",IFERROR(CultivosSembrados!K88,""))</x:f>
      </x:c>
      <x:c r="Q88" s="23" t="str">
        <x:f>IF(O88&lt;&gt;"",TEXT(O88,"yyyy-mm"),"")</x:f>
      </x:c>
      <x:c r="R88" s="23" t="str">
        <x:f>IF(P88&lt;&gt;"",TEXT(P88,"yyyy-mm"),"")</x:f>
      </x:c>
      <x:c r="S88" s="23" t="str">
        <x:f>IF(O88&lt;&gt;"",O88-TODAY(),"")</x:f>
      </x:c>
      <x:c r="T88" s="23" t="str">
        <x:f>IF(A88="","",IF(N88="","Falta fecha base",IF(G88="","Falta cultivo",IF(D88="","Falta unidad","OK"))))</x:f>
      </x:c>
      <x:c r="U88" s="23" t="str">
        <x:f>IF(CultivosSembrados!A88="","",CultivosSembrados!L88)</x:f>
      </x:c>
      <x:c r="V88" s="23" t="str">
        <x:f>IF(CultivosSembrados!A88="","",CultivosSembrados!M88)</x:f>
      </x:c>
    </x:row>
    <x:row r="89">
      <x:c r="A89" s="23" t="str">
        <x:f>IF(CultivosSembrados!A89="","",CultivosSembrados!A89)</x:f>
      </x:c>
      <x:c r="B89" s="23" t="str">
        <x:f>IF(CultivosSembrados!A89="","",CultivosSembrados!B89)</x:f>
      </x:c>
      <x:c r="C89" s="23" t="str">
        <x:f>IF(A89="","",IFERROR(VLOOKUP(B89,Fincas!A:B,2,FALSE),""))</x:f>
      </x:c>
      <x:c r="D89" s="23" t="str">
        <x:f>IF(CultivosSembrados!A89="","",CultivosSembrados!C89)</x:f>
      </x:c>
      <x:c r="E89" s="23" t="str">
        <x:f>IF(A89="","",IFERROR(VLOOKUP(D89,Unidades!A:B,2,FALSE),""))</x:f>
      </x:c>
      <x:c r="F89" s="23" t="str">
        <x:f>IF(A89="","",IFERROR(VLOOKUP(D89,Unidades!A:D,4,FALSE),""))</x:f>
      </x:c>
      <x:c r="G89" s="23" t="str">
        <x:f>IF(CultivosSembrados!A89="","",CultivosSembrados!D89)</x:f>
      </x:c>
      <x:c r="H89" s="23" t="str">
        <x:f>IF(A89="","",IFERROR(VLOOKUP(G89,CatalogoCultivos!A:B,2,FALSE),""))</x:f>
      </x:c>
      <x:c r="I89" s="23" t="str">
        <x:f>IF(A89="","",IFERROR(VLOOKUP(G89,CatalogoCultivos!A:C,3,FALSE),""))</x:f>
      </x:c>
      <x:c r="J89" s="23" t="str">
        <x:f>IF(CultivosSembrados!A89="","",CultivosSembrados!G89)</x:f>
      </x:c>
      <x:c r="K89" s="23" t="str">
        <x:f>IF(CultivosSembrados!A89="","",CultivosSembrados!H89)</x:f>
      </x:c>
      <x:c r="L89" s="23" t="str">
        <x:f>IF(A89="","",IFERROR(CultivosSembrados!E89,""))</x:f>
      </x:c>
      <x:c r="M89" s="23" t="str">
        <x:f>IF(A89="","",IFERROR(CultivosSembrados!F89,""))</x:f>
      </x:c>
      <x:c r="N89" s="23" t="str">
        <x:f>IF(A89="","",IFERROR(CultivosSembrados!I89,""))</x:f>
      </x:c>
      <x:c r="O89" s="23" t="str">
        <x:f>IF(A89="","",IFERROR(CultivosSembrados!J89,""))</x:f>
      </x:c>
      <x:c r="P89" s="23" t="str">
        <x:f>IF(A89="","",IFERROR(CultivosSembrados!K89,""))</x:f>
      </x:c>
      <x:c r="Q89" s="23" t="str">
        <x:f>IF(O89&lt;&gt;"",TEXT(O89,"yyyy-mm"),"")</x:f>
      </x:c>
      <x:c r="R89" s="23" t="str">
        <x:f>IF(P89&lt;&gt;"",TEXT(P89,"yyyy-mm"),"")</x:f>
      </x:c>
      <x:c r="S89" s="23" t="str">
        <x:f>IF(O89&lt;&gt;"",O89-TODAY(),"")</x:f>
      </x:c>
      <x:c r="T89" s="23" t="str">
        <x:f>IF(A89="","",IF(N89="","Falta fecha base",IF(G89="","Falta cultivo",IF(D89="","Falta unidad","OK"))))</x:f>
      </x:c>
      <x:c r="U89" s="23" t="str">
        <x:f>IF(CultivosSembrados!A89="","",CultivosSembrados!L89)</x:f>
      </x:c>
      <x:c r="V89" s="23" t="str">
        <x:f>IF(CultivosSembrados!A89="","",CultivosSembrados!M89)</x:f>
      </x:c>
    </x:row>
    <x:row r="90">
      <x:c r="A90" s="23" t="str">
        <x:f>IF(CultivosSembrados!A90="","",CultivosSembrados!A90)</x:f>
      </x:c>
      <x:c r="B90" s="23" t="str">
        <x:f>IF(CultivosSembrados!A90="","",CultivosSembrados!B90)</x:f>
      </x:c>
      <x:c r="C90" s="23" t="str">
        <x:f>IF(A90="","",IFERROR(VLOOKUP(B90,Fincas!A:B,2,FALSE),""))</x:f>
      </x:c>
      <x:c r="D90" s="23" t="str">
        <x:f>IF(CultivosSembrados!A90="","",CultivosSembrados!C90)</x:f>
      </x:c>
      <x:c r="E90" s="23" t="str">
        <x:f>IF(A90="","",IFERROR(VLOOKUP(D90,Unidades!A:B,2,FALSE),""))</x:f>
      </x:c>
      <x:c r="F90" s="23" t="str">
        <x:f>IF(A90="","",IFERROR(VLOOKUP(D90,Unidades!A:D,4,FALSE),""))</x:f>
      </x:c>
      <x:c r="G90" s="23" t="str">
        <x:f>IF(CultivosSembrados!A90="","",CultivosSembrados!D90)</x:f>
      </x:c>
      <x:c r="H90" s="23" t="str">
        <x:f>IF(A90="","",IFERROR(VLOOKUP(G90,CatalogoCultivos!A:B,2,FALSE),""))</x:f>
      </x:c>
      <x:c r="I90" s="23" t="str">
        <x:f>IF(A90="","",IFERROR(VLOOKUP(G90,CatalogoCultivos!A:C,3,FALSE),""))</x:f>
      </x:c>
      <x:c r="J90" s="23" t="str">
        <x:f>IF(CultivosSembrados!A90="","",CultivosSembrados!G90)</x:f>
      </x:c>
      <x:c r="K90" s="23" t="str">
        <x:f>IF(CultivosSembrados!A90="","",CultivosSembrados!H90)</x:f>
      </x:c>
      <x:c r="L90" s="23" t="str">
        <x:f>IF(A90="","",IFERROR(CultivosSembrados!E90,""))</x:f>
      </x:c>
      <x:c r="M90" s="23" t="str">
        <x:f>IF(A90="","",IFERROR(CultivosSembrados!F90,""))</x:f>
      </x:c>
      <x:c r="N90" s="23" t="str">
        <x:f>IF(A90="","",IFERROR(CultivosSembrados!I90,""))</x:f>
      </x:c>
      <x:c r="O90" s="23" t="str">
        <x:f>IF(A90="","",IFERROR(CultivosSembrados!J90,""))</x:f>
      </x:c>
      <x:c r="P90" s="23" t="str">
        <x:f>IF(A90="","",IFERROR(CultivosSembrados!K90,""))</x:f>
      </x:c>
      <x:c r="Q90" s="23" t="str">
        <x:f>IF(O90&lt;&gt;"",TEXT(O90,"yyyy-mm"),"")</x:f>
      </x:c>
      <x:c r="R90" s="23" t="str">
        <x:f>IF(P90&lt;&gt;"",TEXT(P90,"yyyy-mm"),"")</x:f>
      </x:c>
      <x:c r="S90" s="23" t="str">
        <x:f>IF(O90&lt;&gt;"",O90-TODAY(),"")</x:f>
      </x:c>
      <x:c r="T90" s="23" t="str">
        <x:f>IF(A90="","",IF(N90="","Falta fecha base",IF(G90="","Falta cultivo",IF(D90="","Falta unidad","OK"))))</x:f>
      </x:c>
      <x:c r="U90" s="23" t="str">
        <x:f>IF(CultivosSembrados!A90="","",CultivosSembrados!L90)</x:f>
      </x:c>
      <x:c r="V90" s="23" t="str">
        <x:f>IF(CultivosSembrados!A90="","",CultivosSembrados!M90)</x:f>
      </x:c>
    </x:row>
    <x:row r="91">
      <x:c r="A91" s="23" t="str">
        <x:f>IF(CultivosSembrados!A91="","",CultivosSembrados!A91)</x:f>
      </x:c>
      <x:c r="B91" s="23" t="str">
        <x:f>IF(CultivosSembrados!A91="","",CultivosSembrados!B91)</x:f>
      </x:c>
      <x:c r="C91" s="23" t="str">
        <x:f>IF(A91="","",IFERROR(VLOOKUP(B91,Fincas!A:B,2,FALSE),""))</x:f>
      </x:c>
      <x:c r="D91" s="23" t="str">
        <x:f>IF(CultivosSembrados!A91="","",CultivosSembrados!C91)</x:f>
      </x:c>
      <x:c r="E91" s="23" t="str">
        <x:f>IF(A91="","",IFERROR(VLOOKUP(D91,Unidades!A:B,2,FALSE),""))</x:f>
      </x:c>
      <x:c r="F91" s="23" t="str">
        <x:f>IF(A91="","",IFERROR(VLOOKUP(D91,Unidades!A:D,4,FALSE),""))</x:f>
      </x:c>
      <x:c r="G91" s="23" t="str">
        <x:f>IF(CultivosSembrados!A91="","",CultivosSembrados!D91)</x:f>
      </x:c>
      <x:c r="H91" s="23" t="str">
        <x:f>IF(A91="","",IFERROR(VLOOKUP(G91,CatalogoCultivos!A:B,2,FALSE),""))</x:f>
      </x:c>
      <x:c r="I91" s="23" t="str">
        <x:f>IF(A91="","",IFERROR(VLOOKUP(G91,CatalogoCultivos!A:C,3,FALSE),""))</x:f>
      </x:c>
      <x:c r="J91" s="23" t="str">
        <x:f>IF(CultivosSembrados!A91="","",CultivosSembrados!G91)</x:f>
      </x:c>
      <x:c r="K91" s="23" t="str">
        <x:f>IF(CultivosSembrados!A91="","",CultivosSembrados!H91)</x:f>
      </x:c>
      <x:c r="L91" s="23" t="str">
        <x:f>IF(A91="","",IFERROR(CultivosSembrados!E91,""))</x:f>
      </x:c>
      <x:c r="M91" s="23" t="str">
        <x:f>IF(A91="","",IFERROR(CultivosSembrados!F91,""))</x:f>
      </x:c>
      <x:c r="N91" s="23" t="str">
        <x:f>IF(A91="","",IFERROR(CultivosSembrados!I91,""))</x:f>
      </x:c>
      <x:c r="O91" s="23" t="str">
        <x:f>IF(A91="","",IFERROR(CultivosSembrados!J91,""))</x:f>
      </x:c>
      <x:c r="P91" s="23" t="str">
        <x:f>IF(A91="","",IFERROR(CultivosSembrados!K91,""))</x:f>
      </x:c>
      <x:c r="Q91" s="23" t="str">
        <x:f>IF(O91&lt;&gt;"",TEXT(O91,"yyyy-mm"),"")</x:f>
      </x:c>
      <x:c r="R91" s="23" t="str">
        <x:f>IF(P91&lt;&gt;"",TEXT(P91,"yyyy-mm"),"")</x:f>
      </x:c>
      <x:c r="S91" s="23" t="str">
        <x:f>IF(O91&lt;&gt;"",O91-TODAY(),"")</x:f>
      </x:c>
      <x:c r="T91" s="23" t="str">
        <x:f>IF(A91="","",IF(N91="","Falta fecha base",IF(G91="","Falta cultivo",IF(D91="","Falta unidad","OK"))))</x:f>
      </x:c>
      <x:c r="U91" s="23" t="str">
        <x:f>IF(CultivosSembrados!A91="","",CultivosSembrados!L91)</x:f>
      </x:c>
      <x:c r="V91" s="23" t="str">
        <x:f>IF(CultivosSembrados!A91="","",CultivosSembrados!M91)</x:f>
      </x:c>
    </x:row>
    <x:row r="92">
      <x:c r="A92" s="23" t="str">
        <x:f>IF(CultivosSembrados!A92="","",CultivosSembrados!A92)</x:f>
      </x:c>
      <x:c r="B92" s="23" t="str">
        <x:f>IF(CultivosSembrados!A92="","",CultivosSembrados!B92)</x:f>
      </x:c>
      <x:c r="C92" s="23" t="str">
        <x:f>IF(A92="","",IFERROR(VLOOKUP(B92,Fincas!A:B,2,FALSE),""))</x:f>
      </x:c>
      <x:c r="D92" s="23" t="str">
        <x:f>IF(CultivosSembrados!A92="","",CultivosSembrados!C92)</x:f>
      </x:c>
      <x:c r="E92" s="23" t="str">
        <x:f>IF(A92="","",IFERROR(VLOOKUP(D92,Unidades!A:B,2,FALSE),""))</x:f>
      </x:c>
      <x:c r="F92" s="23" t="str">
        <x:f>IF(A92="","",IFERROR(VLOOKUP(D92,Unidades!A:D,4,FALSE),""))</x:f>
      </x:c>
      <x:c r="G92" s="23" t="str">
        <x:f>IF(CultivosSembrados!A92="","",CultivosSembrados!D92)</x:f>
      </x:c>
      <x:c r="H92" s="23" t="str">
        <x:f>IF(A92="","",IFERROR(VLOOKUP(G92,CatalogoCultivos!A:B,2,FALSE),""))</x:f>
      </x:c>
      <x:c r="I92" s="23" t="str">
        <x:f>IF(A92="","",IFERROR(VLOOKUP(G92,CatalogoCultivos!A:C,3,FALSE),""))</x:f>
      </x:c>
      <x:c r="J92" s="23" t="str">
        <x:f>IF(CultivosSembrados!A92="","",CultivosSembrados!G92)</x:f>
      </x:c>
      <x:c r="K92" s="23" t="str">
        <x:f>IF(CultivosSembrados!A92="","",CultivosSembrados!H92)</x:f>
      </x:c>
      <x:c r="L92" s="23" t="str">
        <x:f>IF(A92="","",IFERROR(CultivosSembrados!E92,""))</x:f>
      </x:c>
      <x:c r="M92" s="23" t="str">
        <x:f>IF(A92="","",IFERROR(CultivosSembrados!F92,""))</x:f>
      </x:c>
      <x:c r="N92" s="23" t="str">
        <x:f>IF(A92="","",IFERROR(CultivosSembrados!I92,""))</x:f>
      </x:c>
      <x:c r="O92" s="23" t="str">
        <x:f>IF(A92="","",IFERROR(CultivosSembrados!J92,""))</x:f>
      </x:c>
      <x:c r="P92" s="23" t="str">
        <x:f>IF(A92="","",IFERROR(CultivosSembrados!K92,""))</x:f>
      </x:c>
      <x:c r="Q92" s="23" t="str">
        <x:f>IF(O92&lt;&gt;"",TEXT(O92,"yyyy-mm"),"")</x:f>
      </x:c>
      <x:c r="R92" s="23" t="str">
        <x:f>IF(P92&lt;&gt;"",TEXT(P92,"yyyy-mm"),"")</x:f>
      </x:c>
      <x:c r="S92" s="23" t="str">
        <x:f>IF(O92&lt;&gt;"",O92-TODAY(),"")</x:f>
      </x:c>
      <x:c r="T92" s="23" t="str">
        <x:f>IF(A92="","",IF(N92="","Falta fecha base",IF(G92="","Falta cultivo",IF(D92="","Falta unidad","OK"))))</x:f>
      </x:c>
      <x:c r="U92" s="23" t="str">
        <x:f>IF(CultivosSembrados!A92="","",CultivosSembrados!L92)</x:f>
      </x:c>
      <x:c r="V92" s="23" t="str">
        <x:f>IF(CultivosSembrados!A92="","",CultivosSembrados!M92)</x:f>
      </x:c>
    </x:row>
    <x:row r="93">
      <x:c r="A93" s="23" t="str">
        <x:f>IF(CultivosSembrados!A93="","",CultivosSembrados!A93)</x:f>
      </x:c>
      <x:c r="B93" s="23" t="str">
        <x:f>IF(CultivosSembrados!A93="","",CultivosSembrados!B93)</x:f>
      </x:c>
      <x:c r="C93" s="23" t="str">
        <x:f>IF(A93="","",IFERROR(VLOOKUP(B93,Fincas!A:B,2,FALSE),""))</x:f>
      </x:c>
      <x:c r="D93" s="23" t="str">
        <x:f>IF(CultivosSembrados!A93="","",CultivosSembrados!C93)</x:f>
      </x:c>
      <x:c r="E93" s="23" t="str">
        <x:f>IF(A93="","",IFERROR(VLOOKUP(D93,Unidades!A:B,2,FALSE),""))</x:f>
      </x:c>
      <x:c r="F93" s="23" t="str">
        <x:f>IF(A93="","",IFERROR(VLOOKUP(D93,Unidades!A:D,4,FALSE),""))</x:f>
      </x:c>
      <x:c r="G93" s="23" t="str">
        <x:f>IF(CultivosSembrados!A93="","",CultivosSembrados!D93)</x:f>
      </x:c>
      <x:c r="H93" s="23" t="str">
        <x:f>IF(A93="","",IFERROR(VLOOKUP(G93,CatalogoCultivos!A:B,2,FALSE),""))</x:f>
      </x:c>
      <x:c r="I93" s="23" t="str">
        <x:f>IF(A93="","",IFERROR(VLOOKUP(G93,CatalogoCultivos!A:C,3,FALSE),""))</x:f>
      </x:c>
      <x:c r="J93" s="23" t="str">
        <x:f>IF(CultivosSembrados!A93="","",CultivosSembrados!G93)</x:f>
      </x:c>
      <x:c r="K93" s="23" t="str">
        <x:f>IF(CultivosSembrados!A93="","",CultivosSembrados!H93)</x:f>
      </x:c>
      <x:c r="L93" s="23" t="str">
        <x:f>IF(A93="","",IFERROR(CultivosSembrados!E93,""))</x:f>
      </x:c>
      <x:c r="M93" s="23" t="str">
        <x:f>IF(A93="","",IFERROR(CultivosSembrados!F93,""))</x:f>
      </x:c>
      <x:c r="N93" s="23" t="str">
        <x:f>IF(A93="","",IFERROR(CultivosSembrados!I93,""))</x:f>
      </x:c>
      <x:c r="O93" s="23" t="str">
        <x:f>IF(A93="","",IFERROR(CultivosSembrados!J93,""))</x:f>
      </x:c>
      <x:c r="P93" s="23" t="str">
        <x:f>IF(A93="","",IFERROR(CultivosSembrados!K93,""))</x:f>
      </x:c>
      <x:c r="Q93" s="23" t="str">
        <x:f>IF(O93&lt;&gt;"",TEXT(O93,"yyyy-mm"),"")</x:f>
      </x:c>
      <x:c r="R93" s="23" t="str">
        <x:f>IF(P93&lt;&gt;"",TEXT(P93,"yyyy-mm"),"")</x:f>
      </x:c>
      <x:c r="S93" s="23" t="str">
        <x:f>IF(O93&lt;&gt;"",O93-TODAY(),"")</x:f>
      </x:c>
      <x:c r="T93" s="23" t="str">
        <x:f>IF(A93="","",IF(N93="","Falta fecha base",IF(G93="","Falta cultivo",IF(D93="","Falta unidad","OK"))))</x:f>
      </x:c>
      <x:c r="U93" s="23" t="str">
        <x:f>IF(CultivosSembrados!A93="","",CultivosSembrados!L93)</x:f>
      </x:c>
      <x:c r="V93" s="23" t="str">
        <x:f>IF(CultivosSembrados!A93="","",CultivosSembrados!M93)</x:f>
      </x:c>
    </x:row>
    <x:row r="94">
      <x:c r="A94" s="23" t="str">
        <x:f>IF(CultivosSembrados!A94="","",CultivosSembrados!A94)</x:f>
      </x:c>
      <x:c r="B94" s="23" t="str">
        <x:f>IF(CultivosSembrados!A94="","",CultivosSembrados!B94)</x:f>
      </x:c>
      <x:c r="C94" s="23" t="str">
        <x:f>IF(A94="","",IFERROR(VLOOKUP(B94,Fincas!A:B,2,FALSE),""))</x:f>
      </x:c>
      <x:c r="D94" s="23" t="str">
        <x:f>IF(CultivosSembrados!A94="","",CultivosSembrados!C94)</x:f>
      </x:c>
      <x:c r="E94" s="23" t="str">
        <x:f>IF(A94="","",IFERROR(VLOOKUP(D94,Unidades!A:B,2,FALSE),""))</x:f>
      </x:c>
      <x:c r="F94" s="23" t="str">
        <x:f>IF(A94="","",IFERROR(VLOOKUP(D94,Unidades!A:D,4,FALSE),""))</x:f>
      </x:c>
      <x:c r="G94" s="23" t="str">
        <x:f>IF(CultivosSembrados!A94="","",CultivosSembrados!D94)</x:f>
      </x:c>
      <x:c r="H94" s="23" t="str">
        <x:f>IF(A94="","",IFERROR(VLOOKUP(G94,CatalogoCultivos!A:B,2,FALSE),""))</x:f>
      </x:c>
      <x:c r="I94" s="23" t="str">
        <x:f>IF(A94="","",IFERROR(VLOOKUP(G94,CatalogoCultivos!A:C,3,FALSE),""))</x:f>
      </x:c>
      <x:c r="J94" s="23" t="str">
        <x:f>IF(CultivosSembrados!A94="","",CultivosSembrados!G94)</x:f>
      </x:c>
      <x:c r="K94" s="23" t="str">
        <x:f>IF(CultivosSembrados!A94="","",CultivosSembrados!H94)</x:f>
      </x:c>
      <x:c r="L94" s="23" t="str">
        <x:f>IF(A94="","",IFERROR(CultivosSembrados!E94,""))</x:f>
      </x:c>
      <x:c r="M94" s="23" t="str">
        <x:f>IF(A94="","",IFERROR(CultivosSembrados!F94,""))</x:f>
      </x:c>
      <x:c r="N94" s="23" t="str">
        <x:f>IF(A94="","",IFERROR(CultivosSembrados!I94,""))</x:f>
      </x:c>
      <x:c r="O94" s="23" t="str">
        <x:f>IF(A94="","",IFERROR(CultivosSembrados!J94,""))</x:f>
      </x:c>
      <x:c r="P94" s="23" t="str">
        <x:f>IF(A94="","",IFERROR(CultivosSembrados!K94,""))</x:f>
      </x:c>
      <x:c r="Q94" s="23" t="str">
        <x:f>IF(O94&lt;&gt;"",TEXT(O94,"yyyy-mm"),"")</x:f>
      </x:c>
      <x:c r="R94" s="23" t="str">
        <x:f>IF(P94&lt;&gt;"",TEXT(P94,"yyyy-mm"),"")</x:f>
      </x:c>
      <x:c r="S94" s="23" t="str">
        <x:f>IF(O94&lt;&gt;"",O94-TODAY(),"")</x:f>
      </x:c>
      <x:c r="T94" s="23" t="str">
        <x:f>IF(A94="","",IF(N94="","Falta fecha base",IF(G94="","Falta cultivo",IF(D94="","Falta unidad","OK"))))</x:f>
      </x:c>
      <x:c r="U94" s="23" t="str">
        <x:f>IF(CultivosSembrados!A94="","",CultivosSembrados!L94)</x:f>
      </x:c>
      <x:c r="V94" s="23" t="str">
        <x:f>IF(CultivosSembrados!A94="","",CultivosSembrados!M94)</x:f>
      </x:c>
    </x:row>
    <x:row r="95">
      <x:c r="A95" s="23" t="str">
        <x:f>IF(CultivosSembrados!A95="","",CultivosSembrados!A95)</x:f>
      </x:c>
      <x:c r="B95" s="23" t="str">
        <x:f>IF(CultivosSembrados!A95="","",CultivosSembrados!B95)</x:f>
      </x:c>
      <x:c r="C95" s="23" t="str">
        <x:f>IF(A95="","",IFERROR(VLOOKUP(B95,Fincas!A:B,2,FALSE),""))</x:f>
      </x:c>
      <x:c r="D95" s="23" t="str">
        <x:f>IF(CultivosSembrados!A95="","",CultivosSembrados!C95)</x:f>
      </x:c>
      <x:c r="E95" s="23" t="str">
        <x:f>IF(A95="","",IFERROR(VLOOKUP(D95,Unidades!A:B,2,FALSE),""))</x:f>
      </x:c>
      <x:c r="F95" s="23" t="str">
        <x:f>IF(A95="","",IFERROR(VLOOKUP(D95,Unidades!A:D,4,FALSE),""))</x:f>
      </x:c>
      <x:c r="G95" s="23" t="str">
        <x:f>IF(CultivosSembrados!A95="","",CultivosSembrados!D95)</x:f>
      </x:c>
      <x:c r="H95" s="23" t="str">
        <x:f>IF(A95="","",IFERROR(VLOOKUP(G95,CatalogoCultivos!A:B,2,FALSE),""))</x:f>
      </x:c>
      <x:c r="I95" s="23" t="str">
        <x:f>IF(A95="","",IFERROR(VLOOKUP(G95,CatalogoCultivos!A:C,3,FALSE),""))</x:f>
      </x:c>
      <x:c r="J95" s="23" t="str">
        <x:f>IF(CultivosSembrados!A95="","",CultivosSembrados!G95)</x:f>
      </x:c>
      <x:c r="K95" s="23" t="str">
        <x:f>IF(CultivosSembrados!A95="","",CultivosSembrados!H95)</x:f>
      </x:c>
      <x:c r="L95" s="23" t="str">
        <x:f>IF(A95="","",IFERROR(CultivosSembrados!E95,""))</x:f>
      </x:c>
      <x:c r="M95" s="23" t="str">
        <x:f>IF(A95="","",IFERROR(CultivosSembrados!F95,""))</x:f>
      </x:c>
      <x:c r="N95" s="23" t="str">
        <x:f>IF(A95="","",IFERROR(CultivosSembrados!I95,""))</x:f>
      </x:c>
      <x:c r="O95" s="23" t="str">
        <x:f>IF(A95="","",IFERROR(CultivosSembrados!J95,""))</x:f>
      </x:c>
      <x:c r="P95" s="23" t="str">
        <x:f>IF(A95="","",IFERROR(CultivosSembrados!K95,""))</x:f>
      </x:c>
      <x:c r="Q95" s="23" t="str">
        <x:f>IF(O95&lt;&gt;"",TEXT(O95,"yyyy-mm"),"")</x:f>
      </x:c>
      <x:c r="R95" s="23" t="str">
        <x:f>IF(P95&lt;&gt;"",TEXT(P95,"yyyy-mm"),"")</x:f>
      </x:c>
      <x:c r="S95" s="23" t="str">
        <x:f>IF(O95&lt;&gt;"",O95-TODAY(),"")</x:f>
      </x:c>
      <x:c r="T95" s="23" t="str">
        <x:f>IF(A95="","",IF(N95="","Falta fecha base",IF(G95="","Falta cultivo",IF(D95="","Falta unidad","OK"))))</x:f>
      </x:c>
      <x:c r="U95" s="23" t="str">
        <x:f>IF(CultivosSembrados!A95="","",CultivosSembrados!L95)</x:f>
      </x:c>
      <x:c r="V95" s="23" t="str">
        <x:f>IF(CultivosSembrados!A95="","",CultivosSembrados!M95)</x:f>
      </x:c>
    </x:row>
    <x:row r="96">
      <x:c r="A96" s="23" t="str">
        <x:f>IF(CultivosSembrados!A96="","",CultivosSembrados!A96)</x:f>
      </x:c>
      <x:c r="B96" s="23" t="str">
        <x:f>IF(CultivosSembrados!A96="","",CultivosSembrados!B96)</x:f>
      </x:c>
      <x:c r="C96" s="23" t="str">
        <x:f>IF(A96="","",IFERROR(VLOOKUP(B96,Fincas!A:B,2,FALSE),""))</x:f>
      </x:c>
      <x:c r="D96" s="23" t="str">
        <x:f>IF(CultivosSembrados!A96="","",CultivosSembrados!C96)</x:f>
      </x:c>
      <x:c r="E96" s="23" t="str">
        <x:f>IF(A96="","",IFERROR(VLOOKUP(D96,Unidades!A:B,2,FALSE),""))</x:f>
      </x:c>
      <x:c r="F96" s="23" t="str">
        <x:f>IF(A96="","",IFERROR(VLOOKUP(D96,Unidades!A:D,4,FALSE),""))</x:f>
      </x:c>
      <x:c r="G96" s="23" t="str">
        <x:f>IF(CultivosSembrados!A96="","",CultivosSembrados!D96)</x:f>
      </x:c>
      <x:c r="H96" s="23" t="str">
        <x:f>IF(A96="","",IFERROR(VLOOKUP(G96,CatalogoCultivos!A:B,2,FALSE),""))</x:f>
      </x:c>
      <x:c r="I96" s="23" t="str">
        <x:f>IF(A96="","",IFERROR(VLOOKUP(G96,CatalogoCultivos!A:C,3,FALSE),""))</x:f>
      </x:c>
      <x:c r="J96" s="23" t="str">
        <x:f>IF(CultivosSembrados!A96="","",CultivosSembrados!G96)</x:f>
      </x:c>
      <x:c r="K96" s="23" t="str">
        <x:f>IF(CultivosSembrados!A96="","",CultivosSembrados!H96)</x:f>
      </x:c>
      <x:c r="L96" s="23" t="str">
        <x:f>IF(A96="","",IFERROR(CultivosSembrados!E96,""))</x:f>
      </x:c>
      <x:c r="M96" s="23" t="str">
        <x:f>IF(A96="","",IFERROR(CultivosSembrados!F96,""))</x:f>
      </x:c>
      <x:c r="N96" s="23" t="str">
        <x:f>IF(A96="","",IFERROR(CultivosSembrados!I96,""))</x:f>
      </x:c>
      <x:c r="O96" s="23" t="str">
        <x:f>IF(A96="","",IFERROR(CultivosSembrados!J96,""))</x:f>
      </x:c>
      <x:c r="P96" s="23" t="str">
        <x:f>IF(A96="","",IFERROR(CultivosSembrados!K96,""))</x:f>
      </x:c>
      <x:c r="Q96" s="23" t="str">
        <x:f>IF(O96&lt;&gt;"",TEXT(O96,"yyyy-mm"),"")</x:f>
      </x:c>
      <x:c r="R96" s="23" t="str">
        <x:f>IF(P96&lt;&gt;"",TEXT(P96,"yyyy-mm"),"")</x:f>
      </x:c>
      <x:c r="S96" s="23" t="str">
        <x:f>IF(O96&lt;&gt;"",O96-TODAY(),"")</x:f>
      </x:c>
      <x:c r="T96" s="23" t="str">
        <x:f>IF(A96="","",IF(N96="","Falta fecha base",IF(G96="","Falta cultivo",IF(D96="","Falta unidad","OK"))))</x:f>
      </x:c>
      <x:c r="U96" s="23" t="str">
        <x:f>IF(CultivosSembrados!A96="","",CultivosSembrados!L96)</x:f>
      </x:c>
      <x:c r="V96" s="23" t="str">
        <x:f>IF(CultivosSembrados!A96="","",CultivosSembrados!M96)</x:f>
      </x:c>
    </x:row>
    <x:row r="97">
      <x:c r="A97" s="23" t="str">
        <x:f>IF(CultivosSembrados!A97="","",CultivosSembrados!A97)</x:f>
      </x:c>
      <x:c r="B97" s="23" t="str">
        <x:f>IF(CultivosSembrados!A97="","",CultivosSembrados!B97)</x:f>
      </x:c>
      <x:c r="C97" s="23" t="str">
        <x:f>IF(A97="","",IFERROR(VLOOKUP(B97,Fincas!A:B,2,FALSE),""))</x:f>
      </x:c>
      <x:c r="D97" s="23" t="str">
        <x:f>IF(CultivosSembrados!A97="","",CultivosSembrados!C97)</x:f>
      </x:c>
      <x:c r="E97" s="23" t="str">
        <x:f>IF(A97="","",IFERROR(VLOOKUP(D97,Unidades!A:B,2,FALSE),""))</x:f>
      </x:c>
      <x:c r="F97" s="23" t="str">
        <x:f>IF(A97="","",IFERROR(VLOOKUP(D97,Unidades!A:D,4,FALSE),""))</x:f>
      </x:c>
      <x:c r="G97" s="23" t="str">
        <x:f>IF(CultivosSembrados!A97="","",CultivosSembrados!D97)</x:f>
      </x:c>
      <x:c r="H97" s="23" t="str">
        <x:f>IF(A97="","",IFERROR(VLOOKUP(G97,CatalogoCultivos!A:B,2,FALSE),""))</x:f>
      </x:c>
      <x:c r="I97" s="23" t="str">
        <x:f>IF(A97="","",IFERROR(VLOOKUP(G97,CatalogoCultivos!A:C,3,FALSE),""))</x:f>
      </x:c>
      <x:c r="J97" s="23" t="str">
        <x:f>IF(CultivosSembrados!A97="","",CultivosSembrados!G97)</x:f>
      </x:c>
      <x:c r="K97" s="23" t="str">
        <x:f>IF(CultivosSembrados!A97="","",CultivosSembrados!H97)</x:f>
      </x:c>
      <x:c r="L97" s="23" t="str">
        <x:f>IF(A97="","",IFERROR(CultivosSembrados!E97,""))</x:f>
      </x:c>
      <x:c r="M97" s="23" t="str">
        <x:f>IF(A97="","",IFERROR(CultivosSembrados!F97,""))</x:f>
      </x:c>
      <x:c r="N97" s="23" t="str">
        <x:f>IF(A97="","",IFERROR(CultivosSembrados!I97,""))</x:f>
      </x:c>
      <x:c r="O97" s="23" t="str">
        <x:f>IF(A97="","",IFERROR(CultivosSembrados!J97,""))</x:f>
      </x:c>
      <x:c r="P97" s="23" t="str">
        <x:f>IF(A97="","",IFERROR(CultivosSembrados!K97,""))</x:f>
      </x:c>
      <x:c r="Q97" s="23" t="str">
        <x:f>IF(O97&lt;&gt;"",TEXT(O97,"yyyy-mm"),"")</x:f>
      </x:c>
      <x:c r="R97" s="23" t="str">
        <x:f>IF(P97&lt;&gt;"",TEXT(P97,"yyyy-mm"),"")</x:f>
      </x:c>
      <x:c r="S97" s="23" t="str">
        <x:f>IF(O97&lt;&gt;"",O97-TODAY(),"")</x:f>
      </x:c>
      <x:c r="T97" s="23" t="str">
        <x:f>IF(A97="","",IF(N97="","Falta fecha base",IF(G97="","Falta cultivo",IF(D97="","Falta unidad","OK"))))</x:f>
      </x:c>
      <x:c r="U97" s="23" t="str">
        <x:f>IF(CultivosSembrados!A97="","",CultivosSembrados!L97)</x:f>
      </x:c>
      <x:c r="V97" s="23" t="str">
        <x:f>IF(CultivosSembrados!A97="","",CultivosSembrados!M97)</x:f>
      </x:c>
    </x:row>
    <x:row r="98">
      <x:c r="A98" s="23" t="str">
        <x:f>IF(CultivosSembrados!A98="","",CultivosSembrados!A98)</x:f>
      </x:c>
      <x:c r="B98" s="23" t="str">
        <x:f>IF(CultivosSembrados!A98="","",CultivosSembrados!B98)</x:f>
      </x:c>
      <x:c r="C98" s="23" t="str">
        <x:f>IF(A98="","",IFERROR(VLOOKUP(B98,Fincas!A:B,2,FALSE),""))</x:f>
      </x:c>
      <x:c r="D98" s="23" t="str">
        <x:f>IF(CultivosSembrados!A98="","",CultivosSembrados!C98)</x:f>
      </x:c>
      <x:c r="E98" s="23" t="str">
        <x:f>IF(A98="","",IFERROR(VLOOKUP(D98,Unidades!A:B,2,FALSE),""))</x:f>
      </x:c>
      <x:c r="F98" s="23" t="str">
        <x:f>IF(A98="","",IFERROR(VLOOKUP(D98,Unidades!A:D,4,FALSE),""))</x:f>
      </x:c>
      <x:c r="G98" s="23" t="str">
        <x:f>IF(CultivosSembrados!A98="","",CultivosSembrados!D98)</x:f>
      </x:c>
      <x:c r="H98" s="23" t="str">
        <x:f>IF(A98="","",IFERROR(VLOOKUP(G98,CatalogoCultivos!A:B,2,FALSE),""))</x:f>
      </x:c>
      <x:c r="I98" s="23" t="str">
        <x:f>IF(A98="","",IFERROR(VLOOKUP(G98,CatalogoCultivos!A:C,3,FALSE),""))</x:f>
      </x:c>
      <x:c r="J98" s="23" t="str">
        <x:f>IF(CultivosSembrados!A98="","",CultivosSembrados!G98)</x:f>
      </x:c>
      <x:c r="K98" s="23" t="str">
        <x:f>IF(CultivosSembrados!A98="","",CultivosSembrados!H98)</x:f>
      </x:c>
      <x:c r="L98" s="23" t="str">
        <x:f>IF(A98="","",IFERROR(CultivosSembrados!E98,""))</x:f>
      </x:c>
      <x:c r="M98" s="23" t="str">
        <x:f>IF(A98="","",IFERROR(CultivosSembrados!F98,""))</x:f>
      </x:c>
      <x:c r="N98" s="23" t="str">
        <x:f>IF(A98="","",IFERROR(CultivosSembrados!I98,""))</x:f>
      </x:c>
      <x:c r="O98" s="23" t="str">
        <x:f>IF(A98="","",IFERROR(CultivosSembrados!J98,""))</x:f>
      </x:c>
      <x:c r="P98" s="23" t="str">
        <x:f>IF(A98="","",IFERROR(CultivosSembrados!K98,""))</x:f>
      </x:c>
      <x:c r="Q98" s="23" t="str">
        <x:f>IF(O98&lt;&gt;"",TEXT(O98,"yyyy-mm"),"")</x:f>
      </x:c>
      <x:c r="R98" s="23" t="str">
        <x:f>IF(P98&lt;&gt;"",TEXT(P98,"yyyy-mm"),"")</x:f>
      </x:c>
      <x:c r="S98" s="23" t="str">
        <x:f>IF(O98&lt;&gt;"",O98-TODAY(),"")</x:f>
      </x:c>
      <x:c r="T98" s="23" t="str">
        <x:f>IF(A98="","",IF(N98="","Falta fecha base",IF(G98="","Falta cultivo",IF(D98="","Falta unidad","OK"))))</x:f>
      </x:c>
      <x:c r="U98" s="23" t="str">
        <x:f>IF(CultivosSembrados!A98="","",CultivosSembrados!L98)</x:f>
      </x:c>
      <x:c r="V98" s="23" t="str">
        <x:f>IF(CultivosSembrados!A98="","",CultivosSembrados!M98)</x:f>
      </x:c>
    </x:row>
    <x:row r="99">
      <x:c r="A99" s="23" t="str">
        <x:f>IF(CultivosSembrados!A99="","",CultivosSembrados!A99)</x:f>
      </x:c>
      <x:c r="B99" s="23" t="str">
        <x:f>IF(CultivosSembrados!A99="","",CultivosSembrados!B99)</x:f>
      </x:c>
      <x:c r="C99" s="23" t="str">
        <x:f>IF(A99="","",IFERROR(VLOOKUP(B99,Fincas!A:B,2,FALSE),""))</x:f>
      </x:c>
      <x:c r="D99" s="23" t="str">
        <x:f>IF(CultivosSembrados!A99="","",CultivosSembrados!C99)</x:f>
      </x:c>
      <x:c r="E99" s="23" t="str">
        <x:f>IF(A99="","",IFERROR(VLOOKUP(D99,Unidades!A:B,2,FALSE),""))</x:f>
      </x:c>
      <x:c r="F99" s="23" t="str">
        <x:f>IF(A99="","",IFERROR(VLOOKUP(D99,Unidades!A:D,4,FALSE),""))</x:f>
      </x:c>
      <x:c r="G99" s="23" t="str">
        <x:f>IF(CultivosSembrados!A99="","",CultivosSembrados!D99)</x:f>
      </x:c>
      <x:c r="H99" s="23" t="str">
        <x:f>IF(A99="","",IFERROR(VLOOKUP(G99,CatalogoCultivos!A:B,2,FALSE),""))</x:f>
      </x:c>
      <x:c r="I99" s="23" t="str">
        <x:f>IF(A99="","",IFERROR(VLOOKUP(G99,CatalogoCultivos!A:C,3,FALSE),""))</x:f>
      </x:c>
      <x:c r="J99" s="23" t="str">
        <x:f>IF(CultivosSembrados!A99="","",CultivosSembrados!G99)</x:f>
      </x:c>
      <x:c r="K99" s="23" t="str">
        <x:f>IF(CultivosSembrados!A99="","",CultivosSembrados!H99)</x:f>
      </x:c>
      <x:c r="L99" s="23" t="str">
        <x:f>IF(A99="","",IFERROR(CultivosSembrados!E99,""))</x:f>
      </x:c>
      <x:c r="M99" s="23" t="str">
        <x:f>IF(A99="","",IFERROR(CultivosSembrados!F99,""))</x:f>
      </x:c>
      <x:c r="N99" s="23" t="str">
        <x:f>IF(A99="","",IFERROR(CultivosSembrados!I99,""))</x:f>
      </x:c>
      <x:c r="O99" s="23" t="str">
        <x:f>IF(A99="","",IFERROR(CultivosSembrados!J99,""))</x:f>
      </x:c>
      <x:c r="P99" s="23" t="str">
        <x:f>IF(A99="","",IFERROR(CultivosSembrados!K99,""))</x:f>
      </x:c>
      <x:c r="Q99" s="23" t="str">
        <x:f>IF(O99&lt;&gt;"",TEXT(O99,"yyyy-mm"),"")</x:f>
      </x:c>
      <x:c r="R99" s="23" t="str">
        <x:f>IF(P99&lt;&gt;"",TEXT(P99,"yyyy-mm"),"")</x:f>
      </x:c>
      <x:c r="S99" s="23" t="str">
        <x:f>IF(O99&lt;&gt;"",O99-TODAY(),"")</x:f>
      </x:c>
      <x:c r="T99" s="23" t="str">
        <x:f>IF(A99="","",IF(N99="","Falta fecha base",IF(G99="","Falta cultivo",IF(D99="","Falta unidad","OK"))))</x:f>
      </x:c>
      <x:c r="U99" s="23" t="str">
        <x:f>IF(CultivosSembrados!A99="","",CultivosSembrados!L99)</x:f>
      </x:c>
      <x:c r="V99" s="23" t="str">
        <x:f>IF(CultivosSembrados!A99="","",CultivosSembrados!M99)</x:f>
      </x:c>
    </x:row>
    <x:row r="100">
      <x:c r="A100" s="23" t="str">
        <x:f>IF(CultivosSembrados!A100="","",CultivosSembrados!A100)</x:f>
      </x:c>
      <x:c r="B100" s="23" t="str">
        <x:f>IF(CultivosSembrados!A100="","",CultivosSembrados!B100)</x:f>
      </x:c>
      <x:c r="C100" s="23" t="str">
        <x:f>IF(A100="","",IFERROR(VLOOKUP(B100,Fincas!A:B,2,FALSE),""))</x:f>
      </x:c>
      <x:c r="D100" s="23" t="str">
        <x:f>IF(CultivosSembrados!A100="","",CultivosSembrados!C100)</x:f>
      </x:c>
      <x:c r="E100" s="23" t="str">
        <x:f>IF(A100="","",IFERROR(VLOOKUP(D100,Unidades!A:B,2,FALSE),""))</x:f>
      </x:c>
      <x:c r="F100" s="23" t="str">
        <x:f>IF(A100="","",IFERROR(VLOOKUP(D100,Unidades!A:D,4,FALSE),""))</x:f>
      </x:c>
      <x:c r="G100" s="23" t="str">
        <x:f>IF(CultivosSembrados!A100="","",CultivosSembrados!D100)</x:f>
      </x:c>
      <x:c r="H100" s="23" t="str">
        <x:f>IF(A100="","",IFERROR(VLOOKUP(G100,CatalogoCultivos!A:B,2,FALSE),""))</x:f>
      </x:c>
      <x:c r="I100" s="23" t="str">
        <x:f>IF(A100="","",IFERROR(VLOOKUP(G100,CatalogoCultivos!A:C,3,FALSE),""))</x:f>
      </x:c>
      <x:c r="J100" s="23" t="str">
        <x:f>IF(CultivosSembrados!A100="","",CultivosSembrados!G100)</x:f>
      </x:c>
      <x:c r="K100" s="23" t="str">
        <x:f>IF(CultivosSembrados!A100="","",CultivosSembrados!H100)</x:f>
      </x:c>
      <x:c r="L100" s="23" t="str">
        <x:f>IF(A100="","",IFERROR(CultivosSembrados!E100,""))</x:f>
      </x:c>
      <x:c r="M100" s="23" t="str">
        <x:f>IF(A100="","",IFERROR(CultivosSembrados!F100,""))</x:f>
      </x:c>
      <x:c r="N100" s="23" t="str">
        <x:f>IF(A100="","",IFERROR(CultivosSembrados!I100,""))</x:f>
      </x:c>
      <x:c r="O100" s="23" t="str">
        <x:f>IF(A100="","",IFERROR(CultivosSembrados!J100,""))</x:f>
      </x:c>
      <x:c r="P100" s="23" t="str">
        <x:f>IF(A100="","",IFERROR(CultivosSembrados!K100,""))</x:f>
      </x:c>
      <x:c r="Q100" s="23" t="str">
        <x:f>IF(O100&lt;&gt;"",TEXT(O100,"yyyy-mm"),"")</x:f>
      </x:c>
      <x:c r="R100" s="23" t="str">
        <x:f>IF(P100&lt;&gt;"",TEXT(P100,"yyyy-mm"),"")</x:f>
      </x:c>
      <x:c r="S100" s="23" t="str">
        <x:f>IF(O100&lt;&gt;"",O100-TODAY(),"")</x:f>
      </x:c>
      <x:c r="T100" s="23" t="str">
        <x:f>IF(A100="","",IF(N100="","Falta fecha base",IF(G100="","Falta cultivo",IF(D100="","Falta unidad","OK"))))</x:f>
      </x:c>
      <x:c r="U100" s="23" t="str">
        <x:f>IF(CultivosSembrados!A100="","",CultivosSembrados!L100)</x:f>
      </x:c>
      <x:c r="V100" s="23" t="str">
        <x:f>IF(CultivosSembrados!A100="","",CultivosSembrados!M100)</x:f>
      </x:c>
    </x:row>
    <x:row r="101">
      <x:c r="A101" s="23" t="str">
        <x:f>IF(CultivosSembrados!A101="","",CultivosSembrados!A101)</x:f>
      </x:c>
      <x:c r="B101" s="23" t="str">
        <x:f>IF(CultivosSembrados!A101="","",CultivosSembrados!B101)</x:f>
      </x:c>
      <x:c r="C101" s="23" t="str">
        <x:f>IF(A101="","",IFERROR(VLOOKUP(B101,Fincas!A:B,2,FALSE),""))</x:f>
      </x:c>
      <x:c r="D101" s="23" t="str">
        <x:f>IF(CultivosSembrados!A101="","",CultivosSembrados!C101)</x:f>
      </x:c>
      <x:c r="E101" s="23" t="str">
        <x:f>IF(A101="","",IFERROR(VLOOKUP(D101,Unidades!A:B,2,FALSE),""))</x:f>
      </x:c>
      <x:c r="F101" s="23" t="str">
        <x:f>IF(A101="","",IFERROR(VLOOKUP(D101,Unidades!A:D,4,FALSE),""))</x:f>
      </x:c>
      <x:c r="G101" s="23" t="str">
        <x:f>IF(CultivosSembrados!A101="","",CultivosSembrados!D101)</x:f>
      </x:c>
      <x:c r="H101" s="23" t="str">
        <x:f>IF(A101="","",IFERROR(VLOOKUP(G101,CatalogoCultivos!A:B,2,FALSE),""))</x:f>
      </x:c>
      <x:c r="I101" s="23" t="str">
        <x:f>IF(A101="","",IFERROR(VLOOKUP(G101,CatalogoCultivos!A:C,3,FALSE),""))</x:f>
      </x:c>
      <x:c r="J101" s="23" t="str">
        <x:f>IF(CultivosSembrados!A101="","",CultivosSembrados!G101)</x:f>
      </x:c>
      <x:c r="K101" s="23" t="str">
        <x:f>IF(CultivosSembrados!A101="","",CultivosSembrados!H101)</x:f>
      </x:c>
      <x:c r="L101" s="23" t="str">
        <x:f>IF(A101="","",IFERROR(CultivosSembrados!E101,""))</x:f>
      </x:c>
      <x:c r="M101" s="23" t="str">
        <x:f>IF(A101="","",IFERROR(CultivosSembrados!F101,""))</x:f>
      </x:c>
      <x:c r="N101" s="23" t="str">
        <x:f>IF(A101="","",IFERROR(CultivosSembrados!I101,""))</x:f>
      </x:c>
      <x:c r="O101" s="23" t="str">
        <x:f>IF(A101="","",IFERROR(CultivosSembrados!J101,""))</x:f>
      </x:c>
      <x:c r="P101" s="23" t="str">
        <x:f>IF(A101="","",IFERROR(CultivosSembrados!K101,""))</x:f>
      </x:c>
      <x:c r="Q101" s="23" t="str">
        <x:f>IF(O101&lt;&gt;"",TEXT(O101,"yyyy-mm"),"")</x:f>
      </x:c>
      <x:c r="R101" s="23" t="str">
        <x:f>IF(P101&lt;&gt;"",TEXT(P101,"yyyy-mm"),"")</x:f>
      </x:c>
      <x:c r="S101" s="23" t="str">
        <x:f>IF(O101&lt;&gt;"",O101-TODAY(),"")</x:f>
      </x:c>
      <x:c r="T101" s="23" t="str">
        <x:f>IF(A101="","",IF(N101="","Falta fecha base",IF(G101="","Falta cultivo",IF(D101="","Falta unidad","OK"))))</x:f>
      </x:c>
      <x:c r="U101" s="23" t="str">
        <x:f>IF(CultivosSembrados!A101="","",CultivosSembrados!L101)</x:f>
      </x:c>
      <x:c r="V101" s="23" t="str">
        <x:f>IF(CultivosSembrados!A101="","",CultivosSembrados!M101)</x:f>
      </x:c>
    </x:row>
  </x:sheetData>
  <x:conditionalFormatting sqref="T2:T101">
    <x:cfRule type="expression" dxfId="2" priority="1">
      <x:formula>$T2&lt;&gt;"OK"</x:formula>
    </x:cfRule>
    <x:cfRule type="expression" dxfId="3" priority="2">
      <x:formula>$T2="OK"</x:formula>
    </x:cfRule>
  </x:conditionalFormatting>
  <x:conditionalFormatting sqref="O2:P101">
    <x:cfRule type="expression" dxfId="4" priority="3">
      <x:formula>AND(O2&lt;&gt;"",O2&lt;=TODAY()+30)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f2707dd2d02400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46.970001220703125" hidden="0" customWidth="1"/>
    <x:col min="2" max="2" width="62" hidden="0" customWidth="1"/>
  </x:cols>
  <x:sheetData>
    <x:row r="1">
      <x:c r="A1" s="39" t="str">
        <x:v>Hydra Q FincaOS V6 MVP DEV - Looker Ready</x:v>
      </x:c>
      <x:c r="B1" s="39" t="str"/>
    </x:row>
    <x:row r="2">
      <x:c r="A2" s="41" t="str">
        <x:v>Objetivo</x:v>
      </x:c>
      <x:c r="B2" s="23" t="str">
        <x:v>Usar VistaCultivos como tabla plana para Looker Studio.</x:v>
      </x:c>
    </x:row>
    <x:row r="3">
      <x:c r="A3" s="41" t="str">
        <x:v>Fuente recomendada</x:v>
      </x:c>
      <x:c r="B3" s="23" t="str">
        <x:v>Hoja: VistaCultivos</x:v>
      </x:c>
    </x:row>
    <x:row r="4">
      <x:c r="A4" s="41" t="str">
        <x:v>Filtros sugeridos</x:v>
      </x:c>
      <x:c r="B4" s="23" t="str">
        <x:v>Finca, Unidad, Cultivo, Mes_Cosecha_Min, Alerta_Datos</x:v>
      </x:c>
    </x:row>
    <x:row r="5">
      <x:c r="A5" s="41" t="str">
        <x:v>Tarjetas sugeridas</x:v>
      </x:c>
      <x:c r="B5" s="23" t="str">
        <x:v>Conteo de Siembra_ID, Conteo de Unidad, Conteo de Alerta_Datos &lt;&gt; OK</x:v>
      </x:c>
    </x:row>
    <x:row r="6">
      <x:c r="A6" s="41" t="str">
        <x:v>Tabla principal</x:v>
      </x:c>
      <x:c r="B6" s="23" t="str">
        <x:v>Finca, Unidad, Cultivo, Cantidad, Estado_Actual, Fecha_Base, Cosecha_Min, Cosecha_Max, Alerta_Datos</x:v>
      </x:c>
    </x:row>
    <x:row r="7">
      <x:c r="A7" s="41" t="str">
        <x:v>Vista por cama</x:v>
      </x:c>
      <x:c r="B7" s="23" t="str">
        <x:v>Agregar control de filtro por Unidad.</x:v>
      </x:c>
    </x:row>
    <x:row r="8">
      <x:c r="A8" s="41" t="str">
        <x:v>Vista por mes</x:v>
      </x:c>
      <x:c r="B8" s="23" t="str">
        <x:v>Usar Mes_Cosecha_Min como dimensión y contar Siembra_ID.</x:v>
      </x:c>
    </x:row>
    <x:row r="9">
      <x:c r="A9" s="41" t="str">
        <x:v>Alerta importante</x:v>
      </x:c>
      <x:c r="B9" s="23" t="str">
        <x:v>Si Alerta_Datos no es OK, ese registro no debería usarse para cálculo de cosecha.</x:v>
      </x:c>
    </x:row>
  </x:sheetData>
  <x:pageMargins left="0.7" right="0.7" top="0.75" bottom="0.75" header="0.3" footer="0.3"/>
</x:worksheet>
</file>